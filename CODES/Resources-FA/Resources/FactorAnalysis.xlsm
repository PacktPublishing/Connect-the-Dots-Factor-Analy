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960" yWindow="915" windowWidth="19335" windowHeight="7095" activeTab="1"/>
  </bookViews>
  <sheets>
    <sheet name="Returns" sheetId="1" r:id="rId1"/>
    <sheet name="Normalized" sheetId="3" r:id="rId2"/>
    <sheet name="Original" sheetId="2" r:id="rId3"/>
  </sheets>
  <functionGroups/>
  <calcPr calcId="0"/>
</workbook>
</file>

<file path=xl/calcChain.xml><?xml version="1.0" encoding="utf-8"?>
<calcChain xmlns="http://schemas.openxmlformats.org/spreadsheetml/2006/main">
  <c r="B5" i="2"/>
  <c r="C5"/>
  <c r="D5"/>
  <c r="E5"/>
  <c r="F5"/>
  <c r="G5"/>
  <c r="H5"/>
  <c r="B6"/>
  <c r="C6"/>
  <c r="D6"/>
  <c r="E6"/>
  <c r="F6"/>
  <c r="G6"/>
  <c r="H6"/>
  <c r="B7"/>
  <c r="C7"/>
  <c r="D7"/>
  <c r="E7"/>
  <c r="F7"/>
  <c r="G7"/>
  <c r="H7"/>
  <c r="B8"/>
  <c r="C8"/>
  <c r="D8"/>
  <c r="E8"/>
  <c r="F8"/>
  <c r="G8"/>
  <c r="H8"/>
  <c r="B9"/>
  <c r="C9"/>
  <c r="D9"/>
  <c r="E9"/>
  <c r="F9"/>
  <c r="G9"/>
  <c r="H9"/>
  <c r="B10"/>
  <c r="C10"/>
  <c r="D10"/>
  <c r="E10"/>
  <c r="F10"/>
  <c r="G10"/>
  <c r="H10"/>
  <c r="B11"/>
  <c r="C11"/>
  <c r="D11"/>
  <c r="E11"/>
  <c r="F11"/>
  <c r="G11"/>
  <c r="H11"/>
  <c r="B12"/>
  <c r="C12"/>
  <c r="D12"/>
  <c r="E12"/>
  <c r="F12"/>
  <c r="G12"/>
  <c r="H12"/>
  <c r="B13"/>
  <c r="C13"/>
  <c r="D13"/>
  <c r="E13"/>
  <c r="F13"/>
  <c r="G13"/>
  <c r="H13"/>
  <c r="B14"/>
  <c r="C14"/>
  <c r="D14"/>
  <c r="E14"/>
  <c r="F14"/>
  <c r="G14"/>
  <c r="H14"/>
  <c r="B15"/>
  <c r="C15"/>
  <c r="D15"/>
  <c r="E15"/>
  <c r="F15"/>
  <c r="G15"/>
  <c r="H15"/>
  <c r="B16"/>
  <c r="C16"/>
  <c r="D16"/>
  <c r="E16"/>
  <c r="F16"/>
  <c r="G16"/>
  <c r="H16"/>
  <c r="B17"/>
  <c r="C17"/>
  <c r="D17"/>
  <c r="E17"/>
  <c r="F17"/>
  <c r="G17"/>
  <c r="H17"/>
  <c r="B18"/>
  <c r="C18"/>
  <c r="D18"/>
  <c r="E18"/>
  <c r="F18"/>
  <c r="G18"/>
  <c r="H18"/>
  <c r="B19"/>
  <c r="C19"/>
  <c r="D19"/>
  <c r="E19"/>
  <c r="F19"/>
  <c r="G19"/>
  <c r="H19"/>
  <c r="B20"/>
  <c r="C20"/>
  <c r="D20"/>
  <c r="E20"/>
  <c r="F20"/>
  <c r="G20"/>
  <c r="H20"/>
  <c r="B21"/>
  <c r="C21"/>
  <c r="D21"/>
  <c r="E21"/>
  <c r="F21"/>
  <c r="G21"/>
  <c r="H21"/>
  <c r="B22"/>
  <c r="C22"/>
  <c r="D22"/>
  <c r="E22"/>
  <c r="F22"/>
  <c r="G22"/>
  <c r="H22"/>
  <c r="B23"/>
  <c r="C23"/>
  <c r="D23"/>
  <c r="E23"/>
  <c r="F23"/>
  <c r="G23"/>
  <c r="H23"/>
  <c r="B24"/>
  <c r="C24"/>
  <c r="D24"/>
  <c r="E24"/>
  <c r="F24"/>
  <c r="G24"/>
  <c r="H24"/>
  <c r="B25"/>
  <c r="C25"/>
  <c r="D25"/>
  <c r="E25"/>
  <c r="F25"/>
  <c r="G25"/>
  <c r="H25"/>
  <c r="B26"/>
  <c r="C26"/>
  <c r="D26"/>
  <c r="E26"/>
  <c r="F26"/>
  <c r="G26"/>
  <c r="H26"/>
  <c r="B27"/>
  <c r="C27"/>
  <c r="D27"/>
  <c r="E27"/>
  <c r="F27"/>
  <c r="G27"/>
  <c r="H27"/>
  <c r="B28"/>
  <c r="C28"/>
  <c r="D28"/>
  <c r="E28"/>
  <c r="F28"/>
  <c r="G28"/>
  <c r="H28"/>
  <c r="B29"/>
  <c r="C29"/>
  <c r="D29"/>
  <c r="E29"/>
  <c r="F29"/>
  <c r="G29"/>
  <c r="H29"/>
  <c r="B30"/>
  <c r="C30"/>
  <c r="D30"/>
  <c r="E30"/>
  <c r="F30"/>
  <c r="G30"/>
  <c r="H30"/>
  <c r="B31"/>
  <c r="C31"/>
  <c r="D31"/>
  <c r="E31"/>
  <c r="F31"/>
  <c r="G31"/>
  <c r="H31"/>
  <c r="B32"/>
  <c r="C32"/>
  <c r="D32"/>
  <c r="E32"/>
  <c r="F32"/>
  <c r="G32"/>
  <c r="H32"/>
  <c r="B33"/>
  <c r="C33"/>
  <c r="D33"/>
  <c r="E33"/>
  <c r="F33"/>
  <c r="G33"/>
  <c r="H33"/>
  <c r="B34"/>
  <c r="C34"/>
  <c r="D34"/>
  <c r="E34"/>
  <c r="F34"/>
  <c r="G34"/>
  <c r="H34"/>
  <c r="B35"/>
  <c r="C35"/>
  <c r="D35"/>
  <c r="E35"/>
  <c r="F35"/>
  <c r="G35"/>
  <c r="H35"/>
  <c r="B36"/>
  <c r="C36"/>
  <c r="D36"/>
  <c r="E36"/>
  <c r="F36"/>
  <c r="G36"/>
  <c r="H36"/>
  <c r="B37"/>
  <c r="C37"/>
  <c r="D37"/>
  <c r="E37"/>
  <c r="F37"/>
  <c r="G37"/>
  <c r="H37"/>
  <c r="B38"/>
  <c r="C38"/>
  <c r="D38"/>
  <c r="E38"/>
  <c r="F38"/>
  <c r="G38"/>
  <c r="H38"/>
  <c r="B39"/>
  <c r="C39"/>
  <c r="D39"/>
  <c r="E39"/>
  <c r="F39"/>
  <c r="G39"/>
  <c r="H39"/>
  <c r="B40"/>
  <c r="C40"/>
  <c r="D40"/>
  <c r="E40"/>
  <c r="F40"/>
  <c r="G40"/>
  <c r="H40"/>
  <c r="B41"/>
  <c r="C41"/>
  <c r="D41"/>
  <c r="E41"/>
  <c r="F41"/>
  <c r="G41"/>
  <c r="H41"/>
  <c r="B42"/>
  <c r="C42"/>
  <c r="D42"/>
  <c r="E42"/>
  <c r="F42"/>
  <c r="G42"/>
  <c r="H42"/>
  <c r="B43"/>
  <c r="C43"/>
  <c r="D43"/>
  <c r="E43"/>
  <c r="F43"/>
  <c r="G43"/>
  <c r="H43"/>
  <c r="B44"/>
  <c r="C44"/>
  <c r="D44"/>
  <c r="E44"/>
  <c r="F44"/>
  <c r="G44"/>
  <c r="H44"/>
  <c r="B45"/>
  <c r="C45"/>
  <c r="D45"/>
  <c r="E45"/>
  <c r="F45"/>
  <c r="G45"/>
  <c r="H45"/>
  <c r="B46"/>
  <c r="C46"/>
  <c r="D46"/>
  <c r="E46"/>
  <c r="F46"/>
  <c r="G46"/>
  <c r="H46"/>
  <c r="B47"/>
  <c r="C47"/>
  <c r="D47"/>
  <c r="E47"/>
  <c r="F47"/>
  <c r="G47"/>
  <c r="H47"/>
  <c r="B48"/>
  <c r="C48"/>
  <c r="D48"/>
  <c r="E48"/>
  <c r="F48"/>
  <c r="G48"/>
  <c r="H48"/>
  <c r="B49"/>
  <c r="C49"/>
  <c r="D49"/>
  <c r="E49"/>
  <c r="F49"/>
  <c r="G49"/>
  <c r="H49"/>
  <c r="B50"/>
  <c r="C50"/>
  <c r="D50"/>
  <c r="E50"/>
  <c r="F50"/>
  <c r="G50"/>
  <c r="H50"/>
  <c r="B51"/>
  <c r="C51"/>
  <c r="D51"/>
  <c r="E51"/>
  <c r="F51"/>
  <c r="G51"/>
  <c r="H51"/>
  <c r="B52"/>
  <c r="C52"/>
  <c r="D52"/>
  <c r="E52"/>
  <c r="F52"/>
  <c r="G52"/>
  <c r="H52"/>
  <c r="B53"/>
  <c r="C53"/>
  <c r="D53"/>
  <c r="E53"/>
  <c r="F53"/>
  <c r="G53"/>
  <c r="H53"/>
  <c r="B54"/>
  <c r="C54"/>
  <c r="D54"/>
  <c r="E54"/>
  <c r="F54"/>
  <c r="G54"/>
  <c r="H54"/>
  <c r="B55"/>
  <c r="C55"/>
  <c r="D55"/>
  <c r="E55"/>
  <c r="F55"/>
  <c r="G55"/>
  <c r="H55"/>
  <c r="B56"/>
  <c r="C56"/>
  <c r="D56"/>
  <c r="E56"/>
  <c r="F56"/>
  <c r="G56"/>
  <c r="H56"/>
  <c r="B57"/>
  <c r="C57"/>
  <c r="D57"/>
  <c r="E57"/>
  <c r="F57"/>
  <c r="G57"/>
  <c r="H57"/>
  <c r="B58"/>
  <c r="C58"/>
  <c r="D58"/>
  <c r="E58"/>
  <c r="F58"/>
  <c r="G58"/>
  <c r="H58"/>
  <c r="B59"/>
  <c r="C59"/>
  <c r="D59"/>
  <c r="E59"/>
  <c r="F59"/>
  <c r="G59"/>
  <c r="H59"/>
  <c r="B60"/>
  <c r="C60"/>
  <c r="D60"/>
  <c r="E60"/>
  <c r="F60"/>
  <c r="G60"/>
  <c r="H60"/>
  <c r="B61"/>
  <c r="C61"/>
  <c r="D61"/>
  <c r="E61"/>
  <c r="F61"/>
  <c r="G61"/>
  <c r="H61"/>
  <c r="B62"/>
  <c r="C62"/>
  <c r="D62"/>
  <c r="E62"/>
  <c r="F62"/>
  <c r="G62"/>
  <c r="H62"/>
  <c r="B63"/>
  <c r="C63"/>
  <c r="D63"/>
  <c r="E63"/>
  <c r="F63"/>
  <c r="G63"/>
  <c r="H63"/>
  <c r="B64"/>
  <c r="C64"/>
  <c r="D64"/>
  <c r="E64"/>
  <c r="F64"/>
  <c r="G64"/>
  <c r="H64"/>
  <c r="B65"/>
  <c r="C65"/>
  <c r="D65"/>
  <c r="E65"/>
  <c r="F65"/>
  <c r="G65"/>
  <c r="H65"/>
  <c r="B66"/>
  <c r="C66"/>
  <c r="D66"/>
  <c r="E66"/>
  <c r="F66"/>
  <c r="G66"/>
  <c r="H66"/>
  <c r="B67"/>
  <c r="C67"/>
  <c r="D67"/>
  <c r="E67"/>
  <c r="F67"/>
  <c r="G67"/>
  <c r="H67"/>
  <c r="B68"/>
  <c r="C68"/>
  <c r="D68"/>
  <c r="E68"/>
  <c r="F68"/>
  <c r="G68"/>
  <c r="H68"/>
  <c r="B69"/>
  <c r="C69"/>
  <c r="D69"/>
  <c r="E69"/>
  <c r="F69"/>
  <c r="G69"/>
  <c r="H69"/>
  <c r="B70"/>
  <c r="C70"/>
  <c r="D70"/>
  <c r="E70"/>
  <c r="F70"/>
  <c r="G70"/>
  <c r="H70"/>
  <c r="B71"/>
  <c r="C71"/>
  <c r="D71"/>
  <c r="E71"/>
  <c r="F71"/>
  <c r="G71"/>
  <c r="H71"/>
  <c r="B72"/>
  <c r="C72"/>
  <c r="D72"/>
  <c r="E72"/>
  <c r="F72"/>
  <c r="G72"/>
  <c r="H72"/>
  <c r="B73"/>
  <c r="C73"/>
  <c r="D73"/>
  <c r="E73"/>
  <c r="F73"/>
  <c r="G73"/>
  <c r="H73"/>
  <c r="B74"/>
  <c r="C74"/>
  <c r="D74"/>
  <c r="E74"/>
  <c r="F74"/>
  <c r="G74"/>
  <c r="H74"/>
  <c r="B75"/>
  <c r="C75"/>
  <c r="D75"/>
  <c r="E75"/>
  <c r="F75"/>
  <c r="G75"/>
  <c r="H75"/>
  <c r="B76"/>
  <c r="C76"/>
  <c r="D76"/>
  <c r="E76"/>
  <c r="F76"/>
  <c r="G76"/>
  <c r="H76"/>
  <c r="B77"/>
  <c r="C77"/>
  <c r="D77"/>
  <c r="E77"/>
  <c r="F77"/>
  <c r="G77"/>
  <c r="H77"/>
  <c r="B78"/>
  <c r="C78"/>
  <c r="D78"/>
  <c r="E78"/>
  <c r="F78"/>
  <c r="G78"/>
  <c r="H78"/>
  <c r="B79"/>
  <c r="C79"/>
  <c r="D79"/>
  <c r="E79"/>
  <c r="F79"/>
  <c r="G79"/>
  <c r="H79"/>
  <c r="B80"/>
  <c r="C80"/>
  <c r="D80"/>
  <c r="E80"/>
  <c r="F80"/>
  <c r="G80"/>
  <c r="H80"/>
  <c r="B81"/>
  <c r="C81"/>
  <c r="D81"/>
  <c r="E81"/>
  <c r="F81"/>
  <c r="G81"/>
  <c r="H81"/>
  <c r="B82"/>
  <c r="C82"/>
  <c r="D82"/>
  <c r="E82"/>
  <c r="F82"/>
  <c r="G82"/>
  <c r="H82"/>
  <c r="B83"/>
  <c r="C83"/>
  <c r="D83"/>
  <c r="E83"/>
  <c r="F83"/>
  <c r="G83"/>
  <c r="H83"/>
  <c r="B84"/>
  <c r="C84"/>
  <c r="D84"/>
  <c r="E84"/>
  <c r="F84"/>
  <c r="G84"/>
  <c r="H84"/>
  <c r="B85"/>
  <c r="C85"/>
  <c r="D85"/>
  <c r="E85"/>
  <c r="F85"/>
  <c r="G85"/>
  <c r="H85"/>
  <c r="B86"/>
  <c r="C86"/>
  <c r="D86"/>
  <c r="E86"/>
  <c r="F86"/>
  <c r="G86"/>
  <c r="H86"/>
  <c r="B87"/>
  <c r="C87"/>
  <c r="D87"/>
  <c r="E87"/>
  <c r="F87"/>
  <c r="G87"/>
  <c r="H87"/>
  <c r="B88"/>
  <c r="C88"/>
  <c r="D88"/>
  <c r="E88"/>
  <c r="F88"/>
  <c r="G88"/>
  <c r="H88"/>
  <c r="B89"/>
  <c r="C89"/>
  <c r="D89"/>
  <c r="E89"/>
  <c r="F89"/>
  <c r="G89"/>
  <c r="H89"/>
  <c r="B90"/>
  <c r="C90"/>
  <c r="D90"/>
  <c r="E90"/>
  <c r="F90"/>
  <c r="G90"/>
  <c r="H90"/>
  <c r="B91"/>
  <c r="C91"/>
  <c r="D91"/>
  <c r="E91"/>
  <c r="F91"/>
  <c r="G91"/>
  <c r="H91"/>
  <c r="B92"/>
  <c r="C92"/>
  <c r="D92"/>
  <c r="E92"/>
  <c r="F92"/>
  <c r="G92"/>
  <c r="H92"/>
  <c r="B93"/>
  <c r="C93"/>
  <c r="D93"/>
  <c r="E93"/>
  <c r="F93"/>
  <c r="G93"/>
  <c r="H93"/>
  <c r="B94"/>
  <c r="C94"/>
  <c r="D94"/>
  <c r="E94"/>
  <c r="F94"/>
  <c r="G94"/>
  <c r="H94"/>
  <c r="B95"/>
  <c r="C95"/>
  <c r="D95"/>
  <c r="E95"/>
  <c r="F95"/>
  <c r="G95"/>
  <c r="H95"/>
  <c r="B96"/>
  <c r="C96"/>
  <c r="D96"/>
  <c r="E96"/>
  <c r="F96"/>
  <c r="G96"/>
  <c r="H96"/>
  <c r="B97"/>
  <c r="C97"/>
  <c r="D97"/>
  <c r="E97"/>
  <c r="F97"/>
  <c r="G97"/>
  <c r="H97"/>
  <c r="B98"/>
  <c r="C98"/>
  <c r="D98"/>
  <c r="E98"/>
  <c r="F98"/>
  <c r="G98"/>
  <c r="H98"/>
  <c r="B99"/>
  <c r="C99"/>
  <c r="D99"/>
  <c r="E99"/>
  <c r="F99"/>
  <c r="G99"/>
  <c r="H99"/>
  <c r="B100"/>
  <c r="C100"/>
  <c r="D100"/>
  <c r="E100"/>
  <c r="F100"/>
  <c r="G100"/>
  <c r="H100"/>
  <c r="B101"/>
  <c r="C101"/>
  <c r="D101"/>
  <c r="E101"/>
  <c r="F101"/>
  <c r="G101"/>
  <c r="H101"/>
  <c r="B102"/>
  <c r="C102"/>
  <c r="D102"/>
  <c r="E102"/>
  <c r="F102"/>
  <c r="G102"/>
  <c r="H102"/>
  <c r="B103"/>
  <c r="C103"/>
  <c r="D103"/>
  <c r="E103"/>
  <c r="F103"/>
  <c r="G103"/>
  <c r="H103"/>
  <c r="B104"/>
  <c r="C104"/>
  <c r="D104"/>
  <c r="E104"/>
  <c r="F104"/>
  <c r="G104"/>
  <c r="H104"/>
  <c r="B105"/>
  <c r="C105"/>
  <c r="D105"/>
  <c r="E105"/>
  <c r="F105"/>
  <c r="G105"/>
  <c r="H105"/>
  <c r="B106"/>
  <c r="C106"/>
  <c r="D106"/>
  <c r="E106"/>
  <c r="F106"/>
  <c r="G106"/>
  <c r="H106"/>
  <c r="B107"/>
  <c r="C107"/>
  <c r="D107"/>
  <c r="E107"/>
  <c r="F107"/>
  <c r="G107"/>
  <c r="H107"/>
  <c r="B108"/>
  <c r="C108"/>
  <c r="D108"/>
  <c r="E108"/>
  <c r="F108"/>
  <c r="G108"/>
  <c r="H108"/>
  <c r="B109"/>
  <c r="C109"/>
  <c r="D109"/>
  <c r="E109"/>
  <c r="F109"/>
  <c r="G109"/>
  <c r="H109"/>
  <c r="B110"/>
  <c r="C110"/>
  <c r="D110"/>
  <c r="E110"/>
  <c r="F110"/>
  <c r="G110"/>
  <c r="H110"/>
  <c r="B111"/>
  <c r="C111"/>
  <c r="D111"/>
  <c r="E111"/>
  <c r="F111"/>
  <c r="G111"/>
  <c r="H111"/>
  <c r="B112"/>
  <c r="C112"/>
  <c r="D112"/>
  <c r="E112"/>
  <c r="F112"/>
  <c r="G112"/>
  <c r="H112"/>
  <c r="B113"/>
  <c r="C113"/>
  <c r="D113"/>
  <c r="E113"/>
  <c r="F113"/>
  <c r="G113"/>
  <c r="H113"/>
  <c r="B114"/>
  <c r="C114"/>
  <c r="D114"/>
  <c r="E114"/>
  <c r="F114"/>
  <c r="G114"/>
  <c r="H114"/>
  <c r="B115"/>
  <c r="C115"/>
  <c r="D115"/>
  <c r="E115"/>
  <c r="F115"/>
  <c r="G115"/>
  <c r="H115"/>
  <c r="B116"/>
  <c r="C116"/>
  <c r="D116"/>
  <c r="E116"/>
  <c r="F116"/>
  <c r="G116"/>
  <c r="H116"/>
  <c r="B117"/>
  <c r="C117"/>
  <c r="D117"/>
  <c r="E117"/>
  <c r="F117"/>
  <c r="G117"/>
  <c r="H117"/>
  <c r="B118"/>
  <c r="C118"/>
  <c r="D118"/>
  <c r="E118"/>
  <c r="F118"/>
  <c r="G118"/>
  <c r="H118"/>
  <c r="B119"/>
  <c r="C119"/>
  <c r="D119"/>
  <c r="E119"/>
  <c r="F119"/>
  <c r="G119"/>
  <c r="H119"/>
  <c r="B120"/>
  <c r="C120"/>
  <c r="D120"/>
  <c r="E120"/>
  <c r="F120"/>
  <c r="G120"/>
  <c r="H120"/>
  <c r="B121"/>
  <c r="C121"/>
  <c r="D121"/>
  <c r="E121"/>
  <c r="F121"/>
  <c r="G121"/>
  <c r="H121"/>
  <c r="B122"/>
  <c r="C122"/>
  <c r="D122"/>
  <c r="E122"/>
  <c r="F122"/>
  <c r="G122"/>
  <c r="H122"/>
  <c r="B123"/>
  <c r="C123"/>
  <c r="D123"/>
  <c r="E123"/>
  <c r="F123"/>
  <c r="G123"/>
  <c r="H123"/>
  <c r="C4"/>
  <c r="D4"/>
  <c r="E4"/>
  <c r="F4"/>
  <c r="G4"/>
  <c r="H4"/>
  <c r="B4"/>
  <c r="C125" l="1"/>
  <c r="C126"/>
  <c r="E125"/>
  <c r="H126"/>
  <c r="F117" i="3"/>
  <c r="E108"/>
  <c r="B89"/>
  <c r="F69"/>
  <c r="F61"/>
  <c r="E52"/>
  <c r="C34"/>
  <c r="D19"/>
  <c r="C10"/>
  <c r="F5"/>
  <c r="E119"/>
  <c r="F100"/>
  <c r="F96"/>
  <c r="E87"/>
  <c r="H82"/>
  <c r="F64"/>
  <c r="E55"/>
  <c r="C41"/>
  <c r="F36"/>
  <c r="E27"/>
  <c r="E23"/>
  <c r="H10"/>
  <c r="F8"/>
  <c r="C5"/>
  <c r="C116"/>
  <c r="F111"/>
  <c r="E102"/>
  <c r="H97"/>
  <c r="F79"/>
  <c r="E70"/>
  <c r="D61"/>
  <c r="F51"/>
  <c r="G125" i="2"/>
  <c r="G126"/>
  <c r="E116" i="3"/>
  <c r="C98"/>
  <c r="C90"/>
  <c r="C82"/>
  <c r="F53"/>
  <c r="F45"/>
  <c r="C121"/>
  <c r="F116"/>
  <c r="E107"/>
  <c r="H102"/>
  <c r="C89"/>
  <c r="F84"/>
  <c r="E75"/>
  <c r="D66"/>
  <c r="C57"/>
  <c r="F52"/>
  <c r="F48"/>
  <c r="E39"/>
  <c r="D30"/>
  <c r="C25"/>
  <c r="F20"/>
  <c r="H4"/>
  <c r="C120"/>
  <c r="F115"/>
  <c r="E106"/>
  <c r="C88"/>
  <c r="F83"/>
  <c r="E74"/>
  <c r="H69"/>
  <c r="C56"/>
  <c r="C52"/>
  <c r="H41"/>
  <c r="F39"/>
  <c r="D126" i="2"/>
  <c r="F31" i="3"/>
  <c r="E22"/>
  <c r="H17"/>
  <c r="B125" i="2"/>
  <c r="B92" i="3" s="1"/>
  <c r="E126" i="2"/>
  <c r="E92" i="3" s="1"/>
  <c r="F125" i="2"/>
  <c r="C24" i="3"/>
  <c r="F19"/>
  <c r="E18"/>
  <c r="B15"/>
  <c r="E10"/>
  <c r="F126" i="2"/>
  <c r="F23" i="3" s="1"/>
  <c r="B126" i="2"/>
  <c r="H125"/>
  <c r="H103" i="3" s="1"/>
  <c r="D125" i="2"/>
  <c r="D148"/>
  <c r="H161"/>
  <c r="D161"/>
  <c r="F145"/>
  <c r="B161"/>
  <c r="E161"/>
  <c r="F161"/>
  <c r="F151"/>
  <c r="G161"/>
  <c r="C161"/>
  <c r="F147"/>
  <c r="F149"/>
  <c r="D150"/>
  <c r="H131"/>
  <c r="D131"/>
  <c r="E137"/>
  <c r="G136"/>
  <c r="C136"/>
  <c r="E135"/>
  <c r="G134"/>
  <c r="C134"/>
  <c r="E133"/>
  <c r="G132"/>
  <c r="C132"/>
  <c r="B134"/>
  <c r="B145"/>
  <c r="B149"/>
  <c r="G151"/>
  <c r="C151"/>
  <c r="E150"/>
  <c r="G149"/>
  <c r="C149"/>
  <c r="E148"/>
  <c r="G147"/>
  <c r="C147"/>
  <c r="E146"/>
  <c r="G145"/>
  <c r="C145"/>
  <c r="F137"/>
  <c r="H136"/>
  <c r="D136"/>
  <c r="F135"/>
  <c r="H134"/>
  <c r="D134"/>
  <c r="F133"/>
  <c r="H132"/>
  <c r="D132"/>
  <c r="B135"/>
  <c r="B131"/>
  <c r="B148"/>
  <c r="H151"/>
  <c r="D151"/>
  <c r="F150"/>
  <c r="H149"/>
  <c r="D149"/>
  <c r="F148"/>
  <c r="H147"/>
  <c r="D147"/>
  <c r="F146"/>
  <c r="H145"/>
  <c r="D145"/>
  <c r="E131"/>
  <c r="F131"/>
  <c r="G137"/>
  <c r="C137"/>
  <c r="E136"/>
  <c r="G135"/>
  <c r="C135"/>
  <c r="E134"/>
  <c r="G133"/>
  <c r="C133"/>
  <c r="E132"/>
  <c r="B136"/>
  <c r="B132"/>
  <c r="B147"/>
  <c r="B151"/>
  <c r="E151"/>
  <c r="G150"/>
  <c r="C150"/>
  <c r="E149"/>
  <c r="G148"/>
  <c r="C148"/>
  <c r="E147"/>
  <c r="G146"/>
  <c r="C146"/>
  <c r="E145"/>
  <c r="C131"/>
  <c r="G131"/>
  <c r="H137"/>
  <c r="D137"/>
  <c r="F136"/>
  <c r="H135"/>
  <c r="D135"/>
  <c r="F134"/>
  <c r="H133"/>
  <c r="D133"/>
  <c r="F132"/>
  <c r="B137"/>
  <c r="B133"/>
  <c r="B146"/>
  <c r="B150"/>
  <c r="H150"/>
  <c r="H148"/>
  <c r="H146"/>
  <c r="D146"/>
  <c r="A154" a="1"/>
  <c r="G118" i="3" l="1"/>
  <c r="G117"/>
  <c r="G85"/>
  <c r="G53"/>
  <c r="G49"/>
  <c r="G21"/>
  <c r="G116"/>
  <c r="G84"/>
  <c r="G52"/>
  <c r="G32"/>
  <c r="G20"/>
  <c r="G77"/>
  <c r="G41"/>
  <c r="G13"/>
  <c r="G108"/>
  <c r="G76"/>
  <c r="G40"/>
  <c r="G24"/>
  <c r="G12"/>
  <c r="G86"/>
  <c r="G22"/>
  <c r="G113"/>
  <c r="G81"/>
  <c r="G17"/>
  <c r="G96"/>
  <c r="G64"/>
  <c r="G70"/>
  <c r="G101"/>
  <c r="G69"/>
  <c r="G33"/>
  <c r="G100"/>
  <c r="G68"/>
  <c r="G48"/>
  <c r="G36"/>
  <c r="G16"/>
  <c r="H31"/>
  <c r="H122"/>
  <c r="H90"/>
  <c r="H58"/>
  <c r="H30"/>
  <c r="H105"/>
  <c r="H73"/>
  <c r="H95"/>
  <c r="H87"/>
  <c r="H79"/>
  <c r="H110"/>
  <c r="H78"/>
  <c r="H42"/>
  <c r="H14"/>
  <c r="H109"/>
  <c r="H77"/>
  <c r="H25"/>
  <c r="H13"/>
  <c r="G45"/>
  <c r="D8"/>
  <c r="D16"/>
  <c r="D24"/>
  <c r="D32"/>
  <c r="D40"/>
  <c r="D48"/>
  <c r="D56"/>
  <c r="D64"/>
  <c r="D72"/>
  <c r="D80"/>
  <c r="D88"/>
  <c r="D96"/>
  <c r="D104"/>
  <c r="D112"/>
  <c r="D120"/>
  <c r="D12"/>
  <c r="D20"/>
  <c r="D28"/>
  <c r="D36"/>
  <c r="D44"/>
  <c r="D52"/>
  <c r="D60"/>
  <c r="D68"/>
  <c r="D76"/>
  <c r="D84"/>
  <c r="D92"/>
  <c r="D100"/>
  <c r="D108"/>
  <c r="D116"/>
  <c r="D7"/>
  <c r="D39"/>
  <c r="D71"/>
  <c r="D103"/>
  <c r="D15"/>
  <c r="D47"/>
  <c r="D79"/>
  <c r="D111"/>
  <c r="D23"/>
  <c r="D55"/>
  <c r="D87"/>
  <c r="D119"/>
  <c r="D31"/>
  <c r="D63"/>
  <c r="D95"/>
  <c r="D11"/>
  <c r="D102"/>
  <c r="D70"/>
  <c r="D42"/>
  <c r="D117"/>
  <c r="D85"/>
  <c r="D53"/>
  <c r="D91"/>
  <c r="D83"/>
  <c r="D122"/>
  <c r="D90"/>
  <c r="D58"/>
  <c r="D121"/>
  <c r="D89"/>
  <c r="D57"/>
  <c r="D45"/>
  <c r="D5"/>
  <c r="D25"/>
  <c r="D98"/>
  <c r="D94"/>
  <c r="D62"/>
  <c r="D34"/>
  <c r="D6"/>
  <c r="D109"/>
  <c r="D77"/>
  <c r="D114"/>
  <c r="D82"/>
  <c r="D46"/>
  <c r="D18"/>
  <c r="D113"/>
  <c r="D81"/>
  <c r="D29"/>
  <c r="D17"/>
  <c r="D115"/>
  <c r="D75"/>
  <c r="D67"/>
  <c r="D59"/>
  <c r="D118"/>
  <c r="D86"/>
  <c r="D54"/>
  <c r="D26"/>
  <c r="D22"/>
  <c r="D10"/>
  <c r="D4"/>
  <c r="D101"/>
  <c r="D69"/>
  <c r="D123"/>
  <c r="D51"/>
  <c r="D106"/>
  <c r="D74"/>
  <c r="D38"/>
  <c r="D105"/>
  <c r="D73"/>
  <c r="D41"/>
  <c r="D21"/>
  <c r="D9"/>
  <c r="H5"/>
  <c r="D13"/>
  <c r="D49"/>
  <c r="D65"/>
  <c r="H101"/>
  <c r="B44"/>
  <c r="G61"/>
  <c r="B80"/>
  <c r="H98"/>
  <c r="G56"/>
  <c r="B75"/>
  <c r="D93"/>
  <c r="B60"/>
  <c r="D78"/>
  <c r="H114"/>
  <c r="G14"/>
  <c r="D43"/>
  <c r="G78"/>
  <c r="C4"/>
  <c r="C151" s="1"/>
  <c r="C26"/>
  <c r="C61"/>
  <c r="C33"/>
  <c r="C9"/>
  <c r="C108"/>
  <c r="C76"/>
  <c r="C66"/>
  <c r="C113"/>
  <c r="C81"/>
  <c r="C45"/>
  <c r="C17"/>
  <c r="C112"/>
  <c r="C80"/>
  <c r="C40"/>
  <c r="C28"/>
  <c r="C16"/>
  <c r="C122"/>
  <c r="C74"/>
  <c r="C117"/>
  <c r="C85"/>
  <c r="C53"/>
  <c r="C21"/>
  <c r="C100"/>
  <c r="C68"/>
  <c r="C58"/>
  <c r="C105"/>
  <c r="C101"/>
  <c r="C73"/>
  <c r="C37"/>
  <c r="C104"/>
  <c r="C72"/>
  <c r="C48"/>
  <c r="C36"/>
  <c r="C20"/>
  <c r="C8"/>
  <c r="C106"/>
  <c r="C50"/>
  <c r="C18"/>
  <c r="C109"/>
  <c r="C77"/>
  <c r="C49"/>
  <c r="C13"/>
  <c r="C92"/>
  <c r="C60"/>
  <c r="C44"/>
  <c r="C114"/>
  <c r="C42"/>
  <c r="C97"/>
  <c r="C93"/>
  <c r="C65"/>
  <c r="C29"/>
  <c r="C96"/>
  <c r="C64"/>
  <c r="C12"/>
  <c r="C32"/>
  <c r="D33"/>
  <c r="G8"/>
  <c r="B27"/>
  <c r="D37"/>
  <c r="B47"/>
  <c r="G60"/>
  <c r="B79"/>
  <c r="D97"/>
  <c r="G93"/>
  <c r="B112"/>
  <c r="D35"/>
  <c r="B73"/>
  <c r="D107"/>
  <c r="G88"/>
  <c r="B107"/>
  <c r="H18"/>
  <c r="G73"/>
  <c r="D110"/>
  <c r="B6"/>
  <c r="B14"/>
  <c r="B22"/>
  <c r="B30"/>
  <c r="B38"/>
  <c r="B46"/>
  <c r="B54"/>
  <c r="B62"/>
  <c r="B70"/>
  <c r="B78"/>
  <c r="B86"/>
  <c r="B94"/>
  <c r="B102"/>
  <c r="B110"/>
  <c r="B118"/>
  <c r="B4"/>
  <c r="B10"/>
  <c r="B18"/>
  <c r="B26"/>
  <c r="B34"/>
  <c r="B42"/>
  <c r="B50"/>
  <c r="B58"/>
  <c r="B66"/>
  <c r="B74"/>
  <c r="B82"/>
  <c r="B90"/>
  <c r="B98"/>
  <c r="B106"/>
  <c r="B114"/>
  <c r="B122"/>
  <c r="B21"/>
  <c r="B53"/>
  <c r="B85"/>
  <c r="B117"/>
  <c r="B29"/>
  <c r="B61"/>
  <c r="B93"/>
  <c r="B5"/>
  <c r="B37"/>
  <c r="B69"/>
  <c r="B101"/>
  <c r="B13"/>
  <c r="B45"/>
  <c r="B77"/>
  <c r="B109"/>
  <c r="B81"/>
  <c r="B116"/>
  <c r="B84"/>
  <c r="B20"/>
  <c r="B12"/>
  <c r="B99"/>
  <c r="B67"/>
  <c r="B104"/>
  <c r="B100"/>
  <c r="B72"/>
  <c r="B36"/>
  <c r="B103"/>
  <c r="B71"/>
  <c r="B19"/>
  <c r="B7"/>
  <c r="B113"/>
  <c r="B65"/>
  <c r="B57"/>
  <c r="B17"/>
  <c r="B108"/>
  <c r="B76"/>
  <c r="B48"/>
  <c r="B123"/>
  <c r="B91"/>
  <c r="B59"/>
  <c r="B121"/>
  <c r="B49"/>
  <c r="B96"/>
  <c r="B64"/>
  <c r="B28"/>
  <c r="B95"/>
  <c r="B63"/>
  <c r="B43"/>
  <c r="B11"/>
  <c r="B31"/>
  <c r="B97"/>
  <c r="B41"/>
  <c r="B9"/>
  <c r="B68"/>
  <c r="B40"/>
  <c r="B8"/>
  <c r="B115"/>
  <c r="B83"/>
  <c r="B105"/>
  <c r="B33"/>
  <c r="B25"/>
  <c r="B120"/>
  <c r="B88"/>
  <c r="B56"/>
  <c r="B52"/>
  <c r="B24"/>
  <c r="B119"/>
  <c r="B87"/>
  <c r="B55"/>
  <c r="B51"/>
  <c r="B39"/>
  <c r="B23"/>
  <c r="G28"/>
  <c r="B35"/>
  <c r="G44"/>
  <c r="G92"/>
  <c r="B111"/>
  <c r="B16"/>
  <c r="H34"/>
  <c r="H70"/>
  <c r="D27"/>
  <c r="G62"/>
  <c r="G46"/>
  <c r="H65"/>
  <c r="C84"/>
  <c r="G120"/>
  <c r="D14"/>
  <c r="B32"/>
  <c r="D50"/>
  <c r="C69"/>
  <c r="G105"/>
  <c r="H23"/>
  <c r="D99"/>
  <c r="F27"/>
  <c r="F7"/>
  <c r="E30"/>
  <c r="F43"/>
  <c r="E46"/>
  <c r="F59"/>
  <c r="E82"/>
  <c r="F91"/>
  <c r="E114"/>
  <c r="F123"/>
  <c r="E19"/>
  <c r="E47"/>
  <c r="F60"/>
  <c r="E83"/>
  <c r="E115"/>
  <c r="E60"/>
  <c r="F55"/>
  <c r="E78"/>
  <c r="F87"/>
  <c r="E110"/>
  <c r="F119"/>
  <c r="E35"/>
  <c r="F44"/>
  <c r="E63"/>
  <c r="F72"/>
  <c r="E95"/>
  <c r="E99"/>
  <c r="F104"/>
  <c r="F13"/>
  <c r="F4"/>
  <c r="H135" s="1"/>
  <c r="E7"/>
  <c r="F10"/>
  <c r="F18"/>
  <c r="F26"/>
  <c r="F34"/>
  <c r="F42"/>
  <c r="F50"/>
  <c r="F58"/>
  <c r="F66"/>
  <c r="F74"/>
  <c r="F82"/>
  <c r="F90"/>
  <c r="F98"/>
  <c r="F106"/>
  <c r="F114"/>
  <c r="F122"/>
  <c r="F6"/>
  <c r="F14"/>
  <c r="F22"/>
  <c r="F30"/>
  <c r="F38"/>
  <c r="F46"/>
  <c r="F54"/>
  <c r="F62"/>
  <c r="F70"/>
  <c r="F78"/>
  <c r="F86"/>
  <c r="F94"/>
  <c r="F102"/>
  <c r="F110"/>
  <c r="F118"/>
  <c r="F25"/>
  <c r="F57"/>
  <c r="F89"/>
  <c r="F121"/>
  <c r="F33"/>
  <c r="F65"/>
  <c r="F97"/>
  <c r="F9"/>
  <c r="F41"/>
  <c r="F73"/>
  <c r="F105"/>
  <c r="F17"/>
  <c r="F49"/>
  <c r="F81"/>
  <c r="F113"/>
  <c r="E9"/>
  <c r="E17"/>
  <c r="E25"/>
  <c r="E33"/>
  <c r="E41"/>
  <c r="E49"/>
  <c r="E57"/>
  <c r="E65"/>
  <c r="E73"/>
  <c r="E81"/>
  <c r="E89"/>
  <c r="E97"/>
  <c r="E105"/>
  <c r="E113"/>
  <c r="E121"/>
  <c r="E4"/>
  <c r="E5"/>
  <c r="E13"/>
  <c r="E21"/>
  <c r="E29"/>
  <c r="E37"/>
  <c r="E45"/>
  <c r="E53"/>
  <c r="E61"/>
  <c r="E69"/>
  <c r="E77"/>
  <c r="E85"/>
  <c r="E93"/>
  <c r="E101"/>
  <c r="E109"/>
  <c r="E117"/>
  <c r="E16"/>
  <c r="E48"/>
  <c r="E80"/>
  <c r="E112"/>
  <c r="E24"/>
  <c r="E56"/>
  <c r="E88"/>
  <c r="E120"/>
  <c r="E32"/>
  <c r="E64"/>
  <c r="E96"/>
  <c r="E8"/>
  <c r="E40"/>
  <c r="E72"/>
  <c r="E104"/>
  <c r="H21"/>
  <c r="E26"/>
  <c r="E6"/>
  <c r="F15"/>
  <c r="H33"/>
  <c r="E38"/>
  <c r="H45"/>
  <c r="E50"/>
  <c r="H53"/>
  <c r="E58"/>
  <c r="F67"/>
  <c r="H85"/>
  <c r="E90"/>
  <c r="F99"/>
  <c r="H117"/>
  <c r="E122"/>
  <c r="H22"/>
  <c r="F32"/>
  <c r="H50"/>
  <c r="H54"/>
  <c r="E59"/>
  <c r="F68"/>
  <c r="H86"/>
  <c r="E91"/>
  <c r="G109"/>
  <c r="H118"/>
  <c r="E123"/>
  <c r="G30"/>
  <c r="H39"/>
  <c r="E68"/>
  <c r="F77"/>
  <c r="F85"/>
  <c r="G94"/>
  <c r="G102"/>
  <c r="H111"/>
  <c r="G4"/>
  <c r="E54"/>
  <c r="F63"/>
  <c r="G72"/>
  <c r="H81"/>
  <c r="E86"/>
  <c r="F95"/>
  <c r="G104"/>
  <c r="H113"/>
  <c r="E118"/>
  <c r="G9"/>
  <c r="F12"/>
  <c r="F16"/>
  <c r="G25"/>
  <c r="G29"/>
  <c r="H38"/>
  <c r="E43"/>
  <c r="G57"/>
  <c r="H66"/>
  <c r="E71"/>
  <c r="F80"/>
  <c r="G89"/>
  <c r="E103"/>
  <c r="F112"/>
  <c r="G121"/>
  <c r="H7"/>
  <c r="E12"/>
  <c r="F21"/>
  <c r="F29"/>
  <c r="G38"/>
  <c r="E84"/>
  <c r="F93"/>
  <c r="H12"/>
  <c r="H20"/>
  <c r="H28"/>
  <c r="H36"/>
  <c r="H44"/>
  <c r="H52"/>
  <c r="H60"/>
  <c r="H68"/>
  <c r="H76"/>
  <c r="H84"/>
  <c r="H92"/>
  <c r="H100"/>
  <c r="H108"/>
  <c r="H116"/>
  <c r="H120"/>
  <c r="H8"/>
  <c r="H16"/>
  <c r="H24"/>
  <c r="H32"/>
  <c r="H40"/>
  <c r="H48"/>
  <c r="H56"/>
  <c r="H64"/>
  <c r="H72"/>
  <c r="H80"/>
  <c r="H88"/>
  <c r="H96"/>
  <c r="H104"/>
  <c r="H112"/>
  <c r="H11"/>
  <c r="H43"/>
  <c r="H75"/>
  <c r="H107"/>
  <c r="H19"/>
  <c r="H51"/>
  <c r="H83"/>
  <c r="H115"/>
  <c r="H27"/>
  <c r="H59"/>
  <c r="H91"/>
  <c r="H123"/>
  <c r="H35"/>
  <c r="H67"/>
  <c r="H99"/>
  <c r="G11"/>
  <c r="G19"/>
  <c r="G27"/>
  <c r="G35"/>
  <c r="G43"/>
  <c r="G51"/>
  <c r="G59"/>
  <c r="G67"/>
  <c r="G75"/>
  <c r="G83"/>
  <c r="G91"/>
  <c r="G99"/>
  <c r="G107"/>
  <c r="G115"/>
  <c r="G123"/>
  <c r="G7"/>
  <c r="G15"/>
  <c r="G23"/>
  <c r="G31"/>
  <c r="G39"/>
  <c r="G47"/>
  <c r="G55"/>
  <c r="G63"/>
  <c r="G71"/>
  <c r="G79"/>
  <c r="G87"/>
  <c r="G95"/>
  <c r="G103"/>
  <c r="G111"/>
  <c r="G119"/>
  <c r="G34"/>
  <c r="G66"/>
  <c r="G98"/>
  <c r="G10"/>
  <c r="G42"/>
  <c r="G74"/>
  <c r="G106"/>
  <c r="G18"/>
  <c r="G50"/>
  <c r="G82"/>
  <c r="G114"/>
  <c r="G26"/>
  <c r="G58"/>
  <c r="G90"/>
  <c r="G122"/>
  <c r="C7"/>
  <c r="C15"/>
  <c r="C23"/>
  <c r="C31"/>
  <c r="C39"/>
  <c r="C47"/>
  <c r="C55"/>
  <c r="C63"/>
  <c r="C71"/>
  <c r="C79"/>
  <c r="C87"/>
  <c r="C95"/>
  <c r="C103"/>
  <c r="C111"/>
  <c r="C119"/>
  <c r="C91"/>
  <c r="C11"/>
  <c r="C19"/>
  <c r="C27"/>
  <c r="C35"/>
  <c r="C43"/>
  <c r="C51"/>
  <c r="C59"/>
  <c r="C67"/>
  <c r="C75"/>
  <c r="C83"/>
  <c r="C99"/>
  <c r="C107"/>
  <c r="C115"/>
  <c r="C123"/>
  <c r="C30"/>
  <c r="C62"/>
  <c r="C94"/>
  <c r="C6"/>
  <c r="C38"/>
  <c r="C70"/>
  <c r="C102"/>
  <c r="C14"/>
  <c r="C46"/>
  <c r="C78"/>
  <c r="C110"/>
  <c r="C22"/>
  <c r="C54"/>
  <c r="C86"/>
  <c r="C118"/>
  <c r="F11"/>
  <c r="H29"/>
  <c r="E34"/>
  <c r="H9"/>
  <c r="E14"/>
  <c r="F35"/>
  <c r="H37"/>
  <c r="E42"/>
  <c r="F47"/>
  <c r="H49"/>
  <c r="H61"/>
  <c r="E66"/>
  <c r="F75"/>
  <c r="H93"/>
  <c r="E98"/>
  <c r="F107"/>
  <c r="E11"/>
  <c r="H26"/>
  <c r="E31"/>
  <c r="F40"/>
  <c r="H62"/>
  <c r="E67"/>
  <c r="F76"/>
  <c r="H94"/>
  <c r="F108"/>
  <c r="E28"/>
  <c r="F37"/>
  <c r="H47"/>
  <c r="H55"/>
  <c r="E76"/>
  <c r="E100"/>
  <c r="F109"/>
  <c r="H57"/>
  <c r="E62"/>
  <c r="F71"/>
  <c r="G80"/>
  <c r="H89"/>
  <c r="E94"/>
  <c r="F103"/>
  <c r="G112"/>
  <c r="H121"/>
  <c r="G5"/>
  <c r="E15"/>
  <c r="F24"/>
  <c r="F28"/>
  <c r="G37"/>
  <c r="H46"/>
  <c r="E51"/>
  <c r="F56"/>
  <c r="G65"/>
  <c r="H74"/>
  <c r="E79"/>
  <c r="F88"/>
  <c r="F92"/>
  <c r="G97"/>
  <c r="H106"/>
  <c r="E111"/>
  <c r="F120"/>
  <c r="G6"/>
  <c r="H15"/>
  <c r="E20"/>
  <c r="E36"/>
  <c r="E44"/>
  <c r="G54"/>
  <c r="H63"/>
  <c r="H71"/>
  <c r="F101"/>
  <c r="G110"/>
  <c r="H119"/>
  <c r="H6"/>
  <c r="D137" s="1"/>
  <c r="G154" i="2"/>
  <c r="B157"/>
  <c r="D159"/>
  <c r="F156"/>
  <c r="A159"/>
  <c r="C155"/>
  <c r="E157"/>
  <c r="G159"/>
  <c r="B155"/>
  <c r="D157"/>
  <c r="F159"/>
  <c r="C154"/>
  <c r="L4" s="1" a="1"/>
  <c r="E156"/>
  <c r="G158"/>
  <c r="B156"/>
  <c r="D158"/>
  <c r="F154"/>
  <c r="A157"/>
  <c r="C159"/>
  <c r="E154"/>
  <c r="G156"/>
  <c r="B159"/>
  <c r="F157"/>
  <c r="C157"/>
  <c r="G155"/>
  <c r="A155"/>
  <c r="A158"/>
  <c r="A156"/>
  <c r="E155"/>
  <c r="B154"/>
  <c r="K4" s="1" a="1"/>
  <c r="F158"/>
  <c r="C156"/>
  <c r="D154"/>
  <c r="M4" s="1" a="1"/>
  <c r="B158"/>
  <c r="E158"/>
  <c r="D155"/>
  <c r="E159"/>
  <c r="F155"/>
  <c r="C158"/>
  <c r="G157"/>
  <c r="A154"/>
  <c r="D156"/>
  <c r="K6" l="1"/>
  <c r="K115"/>
  <c r="K83"/>
  <c r="K51"/>
  <c r="K11"/>
  <c r="K108"/>
  <c r="K92"/>
  <c r="K76"/>
  <c r="K60"/>
  <c r="K44"/>
  <c r="K28"/>
  <c r="K12"/>
  <c r="K121"/>
  <c r="K105"/>
  <c r="K89"/>
  <c r="K73"/>
  <c r="K57"/>
  <c r="K41"/>
  <c r="K25"/>
  <c r="K9"/>
  <c r="K103"/>
  <c r="K71"/>
  <c r="K39"/>
  <c r="K15"/>
  <c r="K110"/>
  <c r="K94"/>
  <c r="K78"/>
  <c r="K62"/>
  <c r="K46"/>
  <c r="K30"/>
  <c r="K14"/>
  <c r="K123"/>
  <c r="K91"/>
  <c r="K59"/>
  <c r="K27"/>
  <c r="K112"/>
  <c r="K96"/>
  <c r="K80"/>
  <c r="K64"/>
  <c r="K48"/>
  <c r="K32"/>
  <c r="K16"/>
  <c r="K7"/>
  <c r="K109"/>
  <c r="K93"/>
  <c r="K77"/>
  <c r="K61"/>
  <c r="K45"/>
  <c r="K29"/>
  <c r="K13"/>
  <c r="K111"/>
  <c r="K79"/>
  <c r="K47"/>
  <c r="K19"/>
  <c r="K114"/>
  <c r="K98"/>
  <c r="K82"/>
  <c r="K66"/>
  <c r="K50"/>
  <c r="K34"/>
  <c r="K18"/>
  <c r="K99"/>
  <c r="K35"/>
  <c r="K100"/>
  <c r="K68"/>
  <c r="K36"/>
  <c r="K4"/>
  <c r="K97"/>
  <c r="K65"/>
  <c r="K33"/>
  <c r="K119"/>
  <c r="K55"/>
  <c r="K118"/>
  <c r="K86"/>
  <c r="K54"/>
  <c r="K22"/>
  <c r="K107"/>
  <c r="K43"/>
  <c r="K104"/>
  <c r="K72"/>
  <c r="K40"/>
  <c r="K8"/>
  <c r="K101"/>
  <c r="K69"/>
  <c r="K37"/>
  <c r="K5"/>
  <c r="K63"/>
  <c r="K122"/>
  <c r="K90"/>
  <c r="K58"/>
  <c r="K26"/>
  <c r="K67"/>
  <c r="K116"/>
  <c r="K84"/>
  <c r="K52"/>
  <c r="K20"/>
  <c r="K113"/>
  <c r="K81"/>
  <c r="K49"/>
  <c r="K17"/>
  <c r="K87"/>
  <c r="K23"/>
  <c r="K102"/>
  <c r="K70"/>
  <c r="K38"/>
  <c r="K75"/>
  <c r="K120"/>
  <c r="K88"/>
  <c r="K56"/>
  <c r="K24"/>
  <c r="K117"/>
  <c r="K85"/>
  <c r="K53"/>
  <c r="K21"/>
  <c r="K95"/>
  <c r="K31"/>
  <c r="K106"/>
  <c r="K74"/>
  <c r="K42"/>
  <c r="K10"/>
  <c r="E126" i="3"/>
  <c r="F134"/>
  <c r="F148"/>
  <c r="B134"/>
  <c r="E125"/>
  <c r="E134"/>
  <c r="H134"/>
  <c r="B148"/>
  <c r="E151"/>
  <c r="C134"/>
  <c r="E137"/>
  <c r="H148"/>
  <c r="C148"/>
  <c r="D134"/>
  <c r="G126"/>
  <c r="E148"/>
  <c r="H161"/>
  <c r="H137"/>
  <c r="H151"/>
  <c r="M5" i="2"/>
  <c r="M110"/>
  <c r="M78"/>
  <c r="M46"/>
  <c r="M14"/>
  <c r="M123"/>
  <c r="M103"/>
  <c r="M83"/>
  <c r="M67"/>
  <c r="M51"/>
  <c r="M35"/>
  <c r="M19"/>
  <c r="M116"/>
  <c r="M100"/>
  <c r="M84"/>
  <c r="M68"/>
  <c r="M52"/>
  <c r="M36"/>
  <c r="M20"/>
  <c r="M4"/>
  <c r="M114"/>
  <c r="M82"/>
  <c r="M50"/>
  <c r="M18"/>
  <c r="M11"/>
  <c r="M109"/>
  <c r="M93"/>
  <c r="M77"/>
  <c r="M61"/>
  <c r="M45"/>
  <c r="M29"/>
  <c r="M13"/>
  <c r="M118"/>
  <c r="M86"/>
  <c r="M54"/>
  <c r="M22"/>
  <c r="M107"/>
  <c r="M87"/>
  <c r="M71"/>
  <c r="M55"/>
  <c r="M39"/>
  <c r="M23"/>
  <c r="M120"/>
  <c r="M104"/>
  <c r="M88"/>
  <c r="M72"/>
  <c r="M56"/>
  <c r="M40"/>
  <c r="M24"/>
  <c r="M8"/>
  <c r="M122"/>
  <c r="M90"/>
  <c r="M58"/>
  <c r="M26"/>
  <c r="M95"/>
  <c r="M113"/>
  <c r="M97"/>
  <c r="M81"/>
  <c r="M65"/>
  <c r="M49"/>
  <c r="M33"/>
  <c r="M17"/>
  <c r="M94"/>
  <c r="M62"/>
  <c r="M30"/>
  <c r="M111"/>
  <c r="M91"/>
  <c r="M75"/>
  <c r="M59"/>
  <c r="M43"/>
  <c r="M27"/>
  <c r="M7"/>
  <c r="M108"/>
  <c r="M92"/>
  <c r="M76"/>
  <c r="M60"/>
  <c r="M44"/>
  <c r="M28"/>
  <c r="M12"/>
  <c r="M98"/>
  <c r="M66"/>
  <c r="M34"/>
  <c r="M115"/>
  <c r="M117"/>
  <c r="M101"/>
  <c r="M85"/>
  <c r="M69"/>
  <c r="M53"/>
  <c r="M37"/>
  <c r="M21"/>
  <c r="M70"/>
  <c r="M63"/>
  <c r="M112"/>
  <c r="M48"/>
  <c r="M74"/>
  <c r="M89"/>
  <c r="M25"/>
  <c r="M102"/>
  <c r="M79"/>
  <c r="M15"/>
  <c r="M64"/>
  <c r="M106"/>
  <c r="M105"/>
  <c r="M41"/>
  <c r="M6"/>
  <c r="M99"/>
  <c r="M31"/>
  <c r="M80"/>
  <c r="M16"/>
  <c r="M10"/>
  <c r="M121"/>
  <c r="M57"/>
  <c r="M38"/>
  <c r="M119"/>
  <c r="M47"/>
  <c r="M96"/>
  <c r="M32"/>
  <c r="M42"/>
  <c r="M73"/>
  <c r="M9"/>
  <c r="H126" i="3"/>
  <c r="L6" i="2"/>
  <c r="L7"/>
  <c r="L23"/>
  <c r="L19"/>
  <c r="L35"/>
  <c r="L11"/>
  <c r="L31"/>
  <c r="L27"/>
  <c r="L15"/>
  <c r="L108"/>
  <c r="L92"/>
  <c r="L76"/>
  <c r="L60"/>
  <c r="L44"/>
  <c r="L28"/>
  <c r="L12"/>
  <c r="L103"/>
  <c r="L71"/>
  <c r="L109"/>
  <c r="L93"/>
  <c r="L77"/>
  <c r="L61"/>
  <c r="L45"/>
  <c r="L29"/>
  <c r="L13"/>
  <c r="L107"/>
  <c r="L75"/>
  <c r="L47"/>
  <c r="L114"/>
  <c r="L98"/>
  <c r="L82"/>
  <c r="L66"/>
  <c r="L50"/>
  <c r="L34"/>
  <c r="L18"/>
  <c r="L112"/>
  <c r="L96"/>
  <c r="L80"/>
  <c r="L64"/>
  <c r="L48"/>
  <c r="L32"/>
  <c r="L16"/>
  <c r="L111"/>
  <c r="L79"/>
  <c r="L43"/>
  <c r="L113"/>
  <c r="L97"/>
  <c r="L81"/>
  <c r="L65"/>
  <c r="L49"/>
  <c r="L33"/>
  <c r="L17"/>
  <c r="L115"/>
  <c r="L83"/>
  <c r="L55"/>
  <c r="L118"/>
  <c r="L102"/>
  <c r="L86"/>
  <c r="L70"/>
  <c r="L54"/>
  <c r="L38"/>
  <c r="L22"/>
  <c r="L116"/>
  <c r="L100"/>
  <c r="L84"/>
  <c r="L68"/>
  <c r="L52"/>
  <c r="L36"/>
  <c r="L20"/>
  <c r="L4"/>
  <c r="L119"/>
  <c r="L87"/>
  <c r="L51"/>
  <c r="L117"/>
  <c r="L101"/>
  <c r="L85"/>
  <c r="L69"/>
  <c r="L53"/>
  <c r="L37"/>
  <c r="L21"/>
  <c r="L5"/>
  <c r="L123"/>
  <c r="L91"/>
  <c r="L59"/>
  <c r="L122"/>
  <c r="L106"/>
  <c r="L104"/>
  <c r="L40"/>
  <c r="L63"/>
  <c r="L105"/>
  <c r="L41"/>
  <c r="L67"/>
  <c r="L90"/>
  <c r="L58"/>
  <c r="L26"/>
  <c r="L120"/>
  <c r="L56"/>
  <c r="L95"/>
  <c r="L121"/>
  <c r="L57"/>
  <c r="L99"/>
  <c r="L94"/>
  <c r="L62"/>
  <c r="L30"/>
  <c r="L72"/>
  <c r="L8"/>
  <c r="L73"/>
  <c r="L9"/>
  <c r="L110"/>
  <c r="L74"/>
  <c r="L42"/>
  <c r="L10"/>
  <c r="L88"/>
  <c r="L24"/>
  <c r="L89"/>
  <c r="L25"/>
  <c r="L39"/>
  <c r="L78"/>
  <c r="L46"/>
  <c r="L14"/>
  <c r="G150" i="3"/>
  <c r="G161"/>
  <c r="B136"/>
  <c r="H136"/>
  <c r="D150"/>
  <c r="G125"/>
  <c r="G132"/>
  <c r="C136"/>
  <c r="G135"/>
  <c r="F150"/>
  <c r="E136"/>
  <c r="E150"/>
  <c r="D136"/>
  <c r="G134"/>
  <c r="B150"/>
  <c r="G148"/>
  <c r="G131"/>
  <c r="G149"/>
  <c r="F136"/>
  <c r="G151"/>
  <c r="G133"/>
  <c r="G137"/>
  <c r="H150"/>
  <c r="G136"/>
  <c r="C150"/>
  <c r="E135"/>
  <c r="B135"/>
  <c r="C135"/>
  <c r="B149"/>
  <c r="F135"/>
  <c r="F149"/>
  <c r="C149"/>
  <c r="E149"/>
  <c r="F137"/>
  <c r="H149"/>
  <c r="F126"/>
  <c r="F125"/>
  <c r="F151"/>
  <c r="B145"/>
  <c r="C145"/>
  <c r="F145"/>
  <c r="G145"/>
  <c r="B131"/>
  <c r="F131"/>
  <c r="B126"/>
  <c r="E161"/>
  <c r="B161"/>
  <c r="C131"/>
  <c r="E145"/>
  <c r="E131"/>
  <c r="F161"/>
  <c r="C161"/>
  <c r="B125"/>
  <c r="B137"/>
  <c r="H147"/>
  <c r="D161"/>
  <c r="D145"/>
  <c r="D131"/>
  <c r="D135"/>
  <c r="D133"/>
  <c r="D148"/>
  <c r="C133"/>
  <c r="F147"/>
  <c r="F133"/>
  <c r="D147"/>
  <c r="G147"/>
  <c r="B147"/>
  <c r="B133"/>
  <c r="D149"/>
  <c r="C147"/>
  <c r="D125"/>
  <c r="D151"/>
  <c r="H133"/>
  <c r="E147"/>
  <c r="D126"/>
  <c r="E133"/>
  <c r="C126"/>
  <c r="B151"/>
  <c r="H131"/>
  <c r="G146"/>
  <c r="B146"/>
  <c r="H146"/>
  <c r="F132"/>
  <c r="E132"/>
  <c r="D146"/>
  <c r="C125"/>
  <c r="C132"/>
  <c r="C146"/>
  <c r="B132"/>
  <c r="E146"/>
  <c r="H132"/>
  <c r="F146"/>
  <c r="D132"/>
  <c r="C137"/>
  <c r="H145"/>
  <c r="H125"/>
  <c r="I156" i="2"/>
  <c r="I159"/>
  <c r="I154"/>
  <c r="I155"/>
  <c r="I157"/>
  <c r="I158"/>
  <c r="A154" i="3" a="1"/>
  <c r="G158" l="1"/>
  <c r="E156"/>
  <c r="C154"/>
  <c r="G157"/>
  <c r="E155"/>
  <c r="B159"/>
  <c r="G156"/>
  <c r="E154"/>
  <c r="F158"/>
  <c r="D156"/>
  <c r="B154"/>
  <c r="K4" s="1" a="1"/>
  <c r="D159"/>
  <c r="B157"/>
  <c r="G154"/>
  <c r="D158"/>
  <c r="B156"/>
  <c r="F159"/>
  <c r="D157"/>
  <c r="B155"/>
  <c r="C159"/>
  <c r="A157"/>
  <c r="F154"/>
  <c r="F157"/>
  <c r="D155"/>
  <c r="A159"/>
  <c r="F156"/>
  <c r="D154"/>
  <c r="M4" s="1" a="1"/>
  <c r="A158"/>
  <c r="G159"/>
  <c r="E157"/>
  <c r="C155"/>
  <c r="C158"/>
  <c r="A156"/>
  <c r="E159"/>
  <c r="C157"/>
  <c r="A155"/>
  <c r="E158"/>
  <c r="C156"/>
  <c r="A154"/>
  <c r="I154" s="1"/>
  <c r="B158"/>
  <c r="G155"/>
  <c r="F155"/>
  <c r="J132" i="2"/>
  <c r="J135"/>
  <c r="J139"/>
  <c r="K161"/>
  <c r="J131"/>
  <c r="K139"/>
  <c r="K123" i="3" l="1"/>
  <c r="K117"/>
  <c r="K109"/>
  <c r="K101"/>
  <c r="K93"/>
  <c r="K85"/>
  <c r="K77"/>
  <c r="K69"/>
  <c r="K61"/>
  <c r="K53"/>
  <c r="K45"/>
  <c r="K37"/>
  <c r="K29"/>
  <c r="K21"/>
  <c r="K13"/>
  <c r="K5"/>
  <c r="K121"/>
  <c r="K113"/>
  <c r="K105"/>
  <c r="K97"/>
  <c r="K89"/>
  <c r="K81"/>
  <c r="K73"/>
  <c r="K65"/>
  <c r="K57"/>
  <c r="K120"/>
  <c r="K112"/>
  <c r="K104"/>
  <c r="K96"/>
  <c r="K88"/>
  <c r="K80"/>
  <c r="K72"/>
  <c r="K64"/>
  <c r="K56"/>
  <c r="K48"/>
  <c r="K40"/>
  <c r="K32"/>
  <c r="K24"/>
  <c r="K16"/>
  <c r="K8"/>
  <c r="K100"/>
  <c r="K68"/>
  <c r="K44"/>
  <c r="K28"/>
  <c r="K12"/>
  <c r="K108"/>
  <c r="K76"/>
  <c r="K49"/>
  <c r="K33"/>
  <c r="K17"/>
  <c r="K116"/>
  <c r="K84"/>
  <c r="K52"/>
  <c r="K36"/>
  <c r="K20"/>
  <c r="K4"/>
  <c r="K92"/>
  <c r="K9"/>
  <c r="K25"/>
  <c r="K41"/>
  <c r="K60"/>
  <c r="K18"/>
  <c r="K34"/>
  <c r="K50"/>
  <c r="K66"/>
  <c r="K82"/>
  <c r="K98"/>
  <c r="K114"/>
  <c r="K19"/>
  <c r="K35"/>
  <c r="K51"/>
  <c r="K67"/>
  <c r="K83"/>
  <c r="K99"/>
  <c r="K115"/>
  <c r="K14"/>
  <c r="K30"/>
  <c r="K46"/>
  <c r="K62"/>
  <c r="K78"/>
  <c r="K94"/>
  <c r="K110"/>
  <c r="K15"/>
  <c r="K31"/>
  <c r="K47"/>
  <c r="K63"/>
  <c r="K79"/>
  <c r="K95"/>
  <c r="K111"/>
  <c r="K10"/>
  <c r="K26"/>
  <c r="K42"/>
  <c r="K58"/>
  <c r="K74"/>
  <c r="K90"/>
  <c r="K106"/>
  <c r="K122"/>
  <c r="K11"/>
  <c r="K27"/>
  <c r="K43"/>
  <c r="K59"/>
  <c r="K75"/>
  <c r="K91"/>
  <c r="K107"/>
  <c r="K6"/>
  <c r="K70"/>
  <c r="K55"/>
  <c r="K119"/>
  <c r="K54"/>
  <c r="K118"/>
  <c r="K39"/>
  <c r="K103"/>
  <c r="K38"/>
  <c r="K102"/>
  <c r="K23"/>
  <c r="K87"/>
  <c r="K22"/>
  <c r="K86"/>
  <c r="K7"/>
  <c r="K71"/>
  <c r="I156"/>
  <c r="I159"/>
  <c r="I157"/>
  <c r="M121"/>
  <c r="M16"/>
  <c r="M32"/>
  <c r="M48"/>
  <c r="M64"/>
  <c r="M80"/>
  <c r="M96"/>
  <c r="M112"/>
  <c r="M11"/>
  <c r="M27"/>
  <c r="M43"/>
  <c r="M59"/>
  <c r="M75"/>
  <c r="M91"/>
  <c r="M107"/>
  <c r="M123"/>
  <c r="M10"/>
  <c r="M26"/>
  <c r="M42"/>
  <c r="M58"/>
  <c r="M74"/>
  <c r="M90"/>
  <c r="M106"/>
  <c r="M122"/>
  <c r="M9"/>
  <c r="M25"/>
  <c r="M41"/>
  <c r="M57"/>
  <c r="M73"/>
  <c r="M89"/>
  <c r="M105"/>
  <c r="M12"/>
  <c r="M28"/>
  <c r="M44"/>
  <c r="M60"/>
  <c r="M76"/>
  <c r="M92"/>
  <c r="M108"/>
  <c r="M7"/>
  <c r="M23"/>
  <c r="M39"/>
  <c r="M55"/>
  <c r="M71"/>
  <c r="M87"/>
  <c r="M103"/>
  <c r="M119"/>
  <c r="M6"/>
  <c r="M22"/>
  <c r="M38"/>
  <c r="M54"/>
  <c r="M70"/>
  <c r="M86"/>
  <c r="M102"/>
  <c r="M118"/>
  <c r="M5"/>
  <c r="M21"/>
  <c r="M37"/>
  <c r="M53"/>
  <c r="M69"/>
  <c r="M85"/>
  <c r="M101"/>
  <c r="M117"/>
  <c r="M8"/>
  <c r="M24"/>
  <c r="M40"/>
  <c r="M56"/>
  <c r="M72"/>
  <c r="M88"/>
  <c r="M104"/>
  <c r="M120"/>
  <c r="M19"/>
  <c r="M35"/>
  <c r="M51"/>
  <c r="M67"/>
  <c r="M83"/>
  <c r="M99"/>
  <c r="M115"/>
  <c r="M18"/>
  <c r="M34"/>
  <c r="M50"/>
  <c r="M66"/>
  <c r="M82"/>
  <c r="M98"/>
  <c r="M114"/>
  <c r="M17"/>
  <c r="M33"/>
  <c r="M49"/>
  <c r="M65"/>
  <c r="M81"/>
  <c r="M97"/>
  <c r="M113"/>
  <c r="M20"/>
  <c r="M84"/>
  <c r="M31"/>
  <c r="M95"/>
  <c r="M46"/>
  <c r="M110"/>
  <c r="M13"/>
  <c r="M77"/>
  <c r="M4"/>
  <c r="M68"/>
  <c r="M15"/>
  <c r="M79"/>
  <c r="M30"/>
  <c r="M94"/>
  <c r="M61"/>
  <c r="M52"/>
  <c r="M116"/>
  <c r="M63"/>
  <c r="M14"/>
  <c r="M78"/>
  <c r="M45"/>
  <c r="M109"/>
  <c r="M36"/>
  <c r="M100"/>
  <c r="M47"/>
  <c r="M111"/>
  <c r="M62"/>
  <c r="M29"/>
  <c r="M93"/>
  <c r="L4" a="1"/>
  <c r="I155"/>
  <c r="I158"/>
  <c r="J134" i="2"/>
  <c r="J133"/>
  <c r="J136"/>
  <c r="J137"/>
  <c r="L139"/>
  <c r="L140"/>
  <c r="J140"/>
  <c r="K140"/>
  <c r="K137"/>
  <c r="K132"/>
  <c r="K136"/>
  <c r="L161"/>
  <c r="K134"/>
  <c r="K135"/>
  <c r="K133"/>
  <c r="L141"/>
  <c r="K141"/>
  <c r="L135"/>
  <c r="L137"/>
  <c r="J141"/>
  <c r="L132"/>
  <c r="M161"/>
  <c r="L134"/>
  <c r="L136"/>
  <c r="L133"/>
  <c r="K131"/>
  <c r="L131"/>
  <c r="L139" i="3" l="1"/>
  <c r="J134"/>
  <c r="L132"/>
  <c r="L134"/>
  <c r="L133"/>
  <c r="L136"/>
  <c r="J141"/>
  <c r="L137"/>
  <c r="L141"/>
  <c r="L131"/>
  <c r="L135"/>
  <c r="M161"/>
  <c r="J132"/>
  <c r="L122"/>
  <c r="L116"/>
  <c r="L100"/>
  <c r="L84"/>
  <c r="L68"/>
  <c r="L52"/>
  <c r="L36"/>
  <c r="L20"/>
  <c r="L4"/>
  <c r="L108"/>
  <c r="L92"/>
  <c r="L76"/>
  <c r="L60"/>
  <c r="L44"/>
  <c r="L28"/>
  <c r="L12"/>
  <c r="L120"/>
  <c r="L104"/>
  <c r="L88"/>
  <c r="L72"/>
  <c r="L56"/>
  <c r="L40"/>
  <c r="L24"/>
  <c r="L8"/>
  <c r="L80"/>
  <c r="L16"/>
  <c r="L96"/>
  <c r="L32"/>
  <c r="L112"/>
  <c r="L48"/>
  <c r="L64"/>
  <c r="L9"/>
  <c r="L25"/>
  <c r="L41"/>
  <c r="L57"/>
  <c r="L73"/>
  <c r="L89"/>
  <c r="L105"/>
  <c r="L121"/>
  <c r="L19"/>
  <c r="L35"/>
  <c r="L51"/>
  <c r="L67"/>
  <c r="L83"/>
  <c r="L99"/>
  <c r="L115"/>
  <c r="L14"/>
  <c r="L30"/>
  <c r="L46"/>
  <c r="L62"/>
  <c r="L78"/>
  <c r="L94"/>
  <c r="L110"/>
  <c r="L5"/>
  <c r="K136" s="1"/>
  <c r="L21"/>
  <c r="L37"/>
  <c r="L53"/>
  <c r="L69"/>
  <c r="L85"/>
  <c r="L101"/>
  <c r="L117"/>
  <c r="L15"/>
  <c r="L31"/>
  <c r="L47"/>
  <c r="L63"/>
  <c r="L79"/>
  <c r="L95"/>
  <c r="L111"/>
  <c r="L10"/>
  <c r="L26"/>
  <c r="L42"/>
  <c r="L58"/>
  <c r="L74"/>
  <c r="L90"/>
  <c r="L106"/>
  <c r="L17"/>
  <c r="L33"/>
  <c r="L49"/>
  <c r="L65"/>
  <c r="L81"/>
  <c r="L97"/>
  <c r="L113"/>
  <c r="L11"/>
  <c r="L27"/>
  <c r="L43"/>
  <c r="L59"/>
  <c r="L75"/>
  <c r="L91"/>
  <c r="L107"/>
  <c r="L123"/>
  <c r="L6"/>
  <c r="L22"/>
  <c r="L38"/>
  <c r="L54"/>
  <c r="L70"/>
  <c r="L86"/>
  <c r="L102"/>
  <c r="L118"/>
  <c r="L13"/>
  <c r="L77"/>
  <c r="L39"/>
  <c r="L103"/>
  <c r="L66"/>
  <c r="L61"/>
  <c r="L23"/>
  <c r="L87"/>
  <c r="L50"/>
  <c r="L114"/>
  <c r="L45"/>
  <c r="L109"/>
  <c r="L7"/>
  <c r="L71"/>
  <c r="L34"/>
  <c r="L98"/>
  <c r="L29"/>
  <c r="L93"/>
  <c r="L55"/>
  <c r="L119"/>
  <c r="L18"/>
  <c r="L82"/>
  <c r="J135"/>
  <c r="J131"/>
  <c r="J136"/>
  <c r="J133"/>
  <c r="K161"/>
  <c r="J139"/>
  <c r="J137"/>
  <c r="K139" l="1"/>
  <c r="K137"/>
  <c r="L161"/>
  <c r="K140"/>
  <c r="K132"/>
  <c r="K134"/>
  <c r="J140"/>
  <c r="L140"/>
  <c r="K131"/>
  <c r="K133"/>
  <c r="K135"/>
  <c r="B165" a="1"/>
  <c r="K141"/>
  <c r="D165" l="1"/>
  <c r="B170"/>
  <c r="B166"/>
  <c r="C169"/>
  <c r="C165"/>
  <c r="D170"/>
  <c r="D166"/>
  <c r="E166"/>
  <c r="B167"/>
  <c r="C170"/>
  <c r="C166"/>
  <c r="E167"/>
  <c r="D167"/>
  <c r="E169"/>
  <c r="B168"/>
  <c r="E165"/>
  <c r="C167"/>
  <c r="E168"/>
  <c r="D168"/>
  <c r="B165"/>
  <c r="B169"/>
  <c r="D169"/>
  <c r="E170"/>
  <c r="C168"/>
</calcChain>
</file>

<file path=xl/sharedStrings.xml><?xml version="1.0" encoding="utf-8"?>
<sst xmlns="http://schemas.openxmlformats.org/spreadsheetml/2006/main" count="128" uniqueCount="26">
  <si>
    <t>Date</t>
  </si>
  <si>
    <t>GOOG</t>
  </si>
  <si>
    <t>AAPL</t>
  </si>
  <si>
    <t>XOM</t>
  </si>
  <si>
    <t>CVX</t>
  </si>
  <si>
    <t>VLO</t>
  </si>
  <si>
    <t>S&amp;P</t>
  </si>
  <si>
    <t>FVX</t>
  </si>
  <si>
    <t>Prices</t>
  </si>
  <si>
    <t>Returns</t>
  </si>
  <si>
    <t>Correlations</t>
  </si>
  <si>
    <t>Covariances</t>
  </si>
  <si>
    <t>Eigenvalues</t>
  </si>
  <si>
    <t>Eigenvectors</t>
  </si>
  <si>
    <t>%Variance Explained</t>
  </si>
  <si>
    <t>PrincipalComponents</t>
  </si>
  <si>
    <t>PCA1</t>
  </si>
  <si>
    <t>PCA2</t>
  </si>
  <si>
    <t>PCA3</t>
  </si>
  <si>
    <t>PCA4</t>
  </si>
  <si>
    <t>PCA5</t>
  </si>
  <si>
    <t>PCA6</t>
  </si>
  <si>
    <t>AAPL~</t>
  </si>
  <si>
    <t xml:space="preserve">Mean </t>
  </si>
  <si>
    <t xml:space="preserve">Std </t>
  </si>
  <si>
    <t>AAPL~PCA1+PCA2+PCA3</t>
  </si>
</sst>
</file>

<file path=xl/styles.xml><?xml version="1.0" encoding="utf-8"?>
<styleSheet xmlns="http://schemas.openxmlformats.org/spreadsheetml/2006/main">
  <numFmts count="3">
    <numFmt numFmtId="164" formatCode="0.0%"/>
    <numFmt numFmtId="167" formatCode="0.0"/>
    <numFmt numFmtId="168" formatCode="0.000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3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9" fontId="0" fillId="0" borderId="0" xfId="1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164" fontId="0" fillId="0" borderId="10" xfId="1" applyNumberFormat="1" applyFont="1" applyBorder="1"/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35" borderId="11" xfId="0" applyFill="1" applyBorder="1" applyAlignment="1">
      <alignment horizontal="center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2" fontId="0" fillId="0" borderId="10" xfId="1" applyNumberFormat="1" applyFont="1" applyBorder="1"/>
    <xf numFmtId="2" fontId="0" fillId="34" borderId="10" xfId="1" applyNumberFormat="1" applyFont="1" applyFill="1" applyBorder="1"/>
    <xf numFmtId="2" fontId="0" fillId="36" borderId="10" xfId="1" applyNumberFormat="1" applyFont="1" applyFill="1" applyBorder="1"/>
    <xf numFmtId="2" fontId="0" fillId="0" borderId="10" xfId="0" applyNumberFormat="1" applyBorder="1"/>
    <xf numFmtId="168" fontId="0" fillId="0" borderId="10" xfId="0" applyNumberFormat="1" applyBorder="1"/>
    <xf numFmtId="0" fontId="0" fillId="35" borderId="0" xfId="0" applyFill="1"/>
    <xf numFmtId="0" fontId="0" fillId="33" borderId="0" xfId="0" applyFill="1" applyBorder="1"/>
    <xf numFmtId="0" fontId="0" fillId="33" borderId="14" xfId="0" applyFill="1" applyBorder="1"/>
    <xf numFmtId="0" fontId="0" fillId="0" borderId="0" xfId="0" applyBorder="1"/>
    <xf numFmtId="0" fontId="0" fillId="0" borderId="0" xfId="0" applyFill="1" applyBorder="1"/>
    <xf numFmtId="168" fontId="0" fillId="0" borderId="0" xfId="0" applyNumberFormat="1" applyFill="1" applyBorder="1"/>
    <xf numFmtId="0" fontId="0" fillId="0" borderId="14" xfId="0" applyBorder="1"/>
    <xf numFmtId="2" fontId="0" fillId="0" borderId="10" xfId="1" applyNumberFormat="1" applyFont="1" applyFill="1" applyBorder="1"/>
    <xf numFmtId="2" fontId="0" fillId="0" borderId="14" xfId="1" applyNumberFormat="1" applyFont="1" applyBorder="1"/>
    <xf numFmtId="2" fontId="0" fillId="34" borderId="14" xfId="1" applyNumberFormat="1" applyFont="1" applyFill="1" applyBorder="1"/>
    <xf numFmtId="0" fontId="0" fillId="0" borderId="15" xfId="0" applyBorder="1"/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2" fontId="0" fillId="0" borderId="0" xfId="1" applyNumberFormat="1" applyFont="1" applyFill="1" applyBorder="1"/>
    <xf numFmtId="2" fontId="0" fillId="0" borderId="0" xfId="1" applyNumberFormat="1" applyFont="1" applyBorder="1"/>
    <xf numFmtId="167" fontId="0" fillId="0" borderId="10" xfId="0" applyNumberFormat="1" applyFill="1" applyBorder="1"/>
    <xf numFmtId="14" fontId="16" fillId="0" borderId="10" xfId="0" applyNumberFormat="1" applyFont="1" applyBorder="1"/>
    <xf numFmtId="164" fontId="16" fillId="0" borderId="10" xfId="1" applyNumberFormat="1" applyFont="1" applyBorder="1"/>
    <xf numFmtId="0" fontId="0" fillId="34" borderId="10" xfId="0" applyFill="1" applyBorder="1"/>
    <xf numFmtId="2" fontId="0" fillId="33" borderId="0" xfId="0" applyNumberFormat="1" applyFill="1" applyBorder="1"/>
    <xf numFmtId="2" fontId="0" fillId="0" borderId="0" xfId="0" applyNumberFormat="1" applyBorder="1"/>
    <xf numFmtId="2" fontId="0" fillId="34" borderId="10" xfId="0" applyNumberFormat="1" applyFill="1" applyBorder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123"/>
  <sheetViews>
    <sheetView workbookViewId="0">
      <pane ySplit="2" topLeftCell="A32" activePane="bottomLeft" state="frozen"/>
      <selection pane="bottomLeft" activeCell="J11" sqref="J11"/>
    </sheetView>
  </sheetViews>
  <sheetFormatPr defaultRowHeight="15"/>
  <cols>
    <col min="1" max="1" width="19.42578125" customWidth="1"/>
  </cols>
  <sheetData>
    <row r="1" spans="1:8">
      <c r="B1" s="2" t="s">
        <v>8</v>
      </c>
      <c r="C1" s="2"/>
      <c r="D1" s="2"/>
      <c r="E1" s="2"/>
      <c r="F1" s="2"/>
      <c r="G1" s="2"/>
      <c r="H1" s="2"/>
    </row>
    <row r="2" spans="1:8">
      <c r="A2" t="s">
        <v>0</v>
      </c>
      <c r="B2" t="s">
        <v>2</v>
      </c>
      <c r="C2" t="s">
        <v>1</v>
      </c>
      <c r="D2" t="s">
        <v>3</v>
      </c>
      <c r="E2" t="s">
        <v>4</v>
      </c>
      <c r="F2" t="s">
        <v>5</v>
      </c>
      <c r="G2" t="s">
        <v>6</v>
      </c>
      <c r="H2" t="s">
        <v>7</v>
      </c>
    </row>
    <row r="3" spans="1:8">
      <c r="A3" s="1">
        <v>39085</v>
      </c>
      <c r="B3">
        <v>11.155296</v>
      </c>
      <c r="C3">
        <v>250.49993900000001</v>
      </c>
      <c r="D3">
        <v>57.284992000000003</v>
      </c>
      <c r="E3">
        <v>51.263393000000001</v>
      </c>
      <c r="F3">
        <v>40.111015000000002</v>
      </c>
      <c r="G3">
        <v>1438.23999</v>
      </c>
      <c r="H3">
        <v>4.819</v>
      </c>
    </row>
    <row r="4" spans="1:8">
      <c r="A4" s="1">
        <v>39114</v>
      </c>
      <c r="B4">
        <v>11.009561</v>
      </c>
      <c r="C4">
        <v>224.50088500000001</v>
      </c>
      <c r="D4">
        <v>55.650143</v>
      </c>
      <c r="E4">
        <v>48.543185999999999</v>
      </c>
      <c r="F4">
        <v>42.611977000000003</v>
      </c>
      <c r="G4">
        <v>1406.8199460000001</v>
      </c>
      <c r="H4">
        <v>4.5030000000000001</v>
      </c>
    </row>
    <row r="5" spans="1:8">
      <c r="A5" s="1">
        <v>39142</v>
      </c>
      <c r="B5">
        <v>12.089566</v>
      </c>
      <c r="C5">
        <v>228.85154700000001</v>
      </c>
      <c r="D5">
        <v>58.577049000000002</v>
      </c>
      <c r="E5">
        <v>52.397171</v>
      </c>
      <c r="F5">
        <v>47.758884000000002</v>
      </c>
      <c r="G5">
        <v>1420.8599850000001</v>
      </c>
      <c r="H5">
        <v>4.5369999999999999</v>
      </c>
    </row>
    <row r="6" spans="1:8">
      <c r="A6" s="1">
        <v>39174</v>
      </c>
      <c r="B6">
        <v>12.986102000000001</v>
      </c>
      <c r="C6">
        <v>235.45495600000001</v>
      </c>
      <c r="D6">
        <v>61.628180999999998</v>
      </c>
      <c r="E6">
        <v>55.110545999999999</v>
      </c>
      <c r="F6">
        <v>52.009712</v>
      </c>
      <c r="G6">
        <v>1482.369995</v>
      </c>
      <c r="H6">
        <v>4.516</v>
      </c>
    </row>
    <row r="7" spans="1:8">
      <c r="A7" s="1">
        <v>39203</v>
      </c>
      <c r="B7">
        <v>15.769396</v>
      </c>
      <c r="C7">
        <v>248.706726</v>
      </c>
      <c r="D7">
        <v>64.849388000000005</v>
      </c>
      <c r="E7">
        <v>58.149590000000003</v>
      </c>
      <c r="F7">
        <v>55.350749999999998</v>
      </c>
      <c r="G7">
        <v>1530.619995</v>
      </c>
      <c r="H7">
        <v>4.8529999999999998</v>
      </c>
    </row>
    <row r="8" spans="1:8">
      <c r="A8" s="1">
        <v>39234</v>
      </c>
      <c r="B8">
        <v>15.879999</v>
      </c>
      <c r="C8">
        <v>261.08935500000001</v>
      </c>
      <c r="D8">
        <v>65.402985000000001</v>
      </c>
      <c r="E8">
        <v>60.111935000000003</v>
      </c>
      <c r="F8">
        <v>54.787002999999999</v>
      </c>
      <c r="G8">
        <v>1503.349976</v>
      </c>
      <c r="H8">
        <v>4.9359999999999999</v>
      </c>
    </row>
    <row r="9" spans="1:8">
      <c r="A9" s="1">
        <v>39265</v>
      </c>
      <c r="B9">
        <v>17.144777000000001</v>
      </c>
      <c r="C9">
        <v>254.74568199999999</v>
      </c>
      <c r="D9">
        <v>66.37764</v>
      </c>
      <c r="E9">
        <v>60.839787000000001</v>
      </c>
      <c r="F9">
        <v>49.705894000000001</v>
      </c>
      <c r="G9">
        <v>1455.2700199999999</v>
      </c>
      <c r="H9">
        <v>4.6020000000000003</v>
      </c>
    </row>
    <row r="10" spans="1:8">
      <c r="A10" s="1">
        <v>39295</v>
      </c>
      <c r="B10">
        <v>18.019193999999999</v>
      </c>
      <c r="C10">
        <v>257.36807299999998</v>
      </c>
      <c r="D10">
        <v>67.112708999999995</v>
      </c>
      <c r="E10">
        <v>63.067390000000003</v>
      </c>
      <c r="F10">
        <v>50.917225000000002</v>
      </c>
      <c r="G10">
        <v>1473.98999</v>
      </c>
      <c r="H10">
        <v>4.2510000000000003</v>
      </c>
    </row>
    <row r="11" spans="1:8">
      <c r="A11" s="1">
        <v>39329</v>
      </c>
      <c r="B11">
        <v>19.969711</v>
      </c>
      <c r="C11">
        <v>283.35214200000001</v>
      </c>
      <c r="D11">
        <v>72.459487999999993</v>
      </c>
      <c r="E11">
        <v>67.249847000000003</v>
      </c>
      <c r="F11">
        <v>49.928756999999997</v>
      </c>
      <c r="G11">
        <v>1526.75</v>
      </c>
      <c r="H11">
        <v>4.2290000000000001</v>
      </c>
    </row>
    <row r="12" spans="1:8">
      <c r="A12" s="1">
        <v>39356</v>
      </c>
      <c r="B12">
        <v>24.716533999999999</v>
      </c>
      <c r="C12">
        <v>353.14746100000002</v>
      </c>
      <c r="D12">
        <v>72.013267999999997</v>
      </c>
      <c r="E12">
        <v>65.762268000000006</v>
      </c>
      <c r="F12">
        <v>52.344189</v>
      </c>
      <c r="G12">
        <v>1549.380005</v>
      </c>
      <c r="H12">
        <v>4.1669999999999998</v>
      </c>
    </row>
    <row r="13" spans="1:8">
      <c r="A13" s="1">
        <v>39387</v>
      </c>
      <c r="B13">
        <v>23.710697</v>
      </c>
      <c r="C13">
        <v>346.154449</v>
      </c>
      <c r="D13">
        <v>70.069191000000004</v>
      </c>
      <c r="E13">
        <v>63.498722000000001</v>
      </c>
      <c r="F13">
        <v>48.466351000000003</v>
      </c>
      <c r="G13">
        <v>1481.1400149999999</v>
      </c>
      <c r="H13">
        <v>3.4180000000000001</v>
      </c>
    </row>
    <row r="14" spans="1:8">
      <c r="A14" s="1">
        <v>39419</v>
      </c>
      <c r="B14">
        <v>25.774419999999999</v>
      </c>
      <c r="C14">
        <v>345.39520299999998</v>
      </c>
      <c r="D14">
        <v>73.629227</v>
      </c>
      <c r="E14">
        <v>67.521202000000002</v>
      </c>
      <c r="F14">
        <v>52.136691999999996</v>
      </c>
      <c r="G14">
        <v>1468.3599850000001</v>
      </c>
      <c r="H14">
        <v>3.4550000000000001</v>
      </c>
    </row>
    <row r="15" spans="1:8">
      <c r="A15" s="1">
        <v>39449</v>
      </c>
      <c r="B15">
        <v>17.613213999999999</v>
      </c>
      <c r="C15">
        <v>281.86862200000002</v>
      </c>
      <c r="D15">
        <v>67.350037</v>
      </c>
      <c r="E15">
        <v>60.228653000000001</v>
      </c>
      <c r="F15">
        <v>43.969619999999999</v>
      </c>
      <c r="G15">
        <v>1378.5500489999999</v>
      </c>
      <c r="H15">
        <v>2.8260000000000001</v>
      </c>
    </row>
    <row r="16" spans="1:8">
      <c r="A16" s="1">
        <v>39479</v>
      </c>
      <c r="B16">
        <v>16.267761</v>
      </c>
      <c r="C16">
        <v>235.35505699999999</v>
      </c>
      <c r="D16">
        <v>68.674674999999993</v>
      </c>
      <c r="E16">
        <v>63.147174999999997</v>
      </c>
      <c r="F16">
        <v>43.097054</v>
      </c>
      <c r="G16">
        <v>1330.630005</v>
      </c>
      <c r="H16">
        <v>2.5089999999999999</v>
      </c>
    </row>
    <row r="17" spans="1:8">
      <c r="A17" s="1">
        <v>39510</v>
      </c>
      <c r="B17">
        <v>18.672401000000001</v>
      </c>
      <c r="C17">
        <v>220.01535000000001</v>
      </c>
      <c r="D17">
        <v>66.756743999999998</v>
      </c>
      <c r="E17">
        <v>62.199894</v>
      </c>
      <c r="F17">
        <v>36.636592999999998</v>
      </c>
      <c r="G17">
        <v>1322.6999510000001</v>
      </c>
      <c r="H17">
        <v>2.4670000000000001</v>
      </c>
    </row>
    <row r="18" spans="1:8">
      <c r="A18" s="1">
        <v>39539</v>
      </c>
      <c r="B18">
        <v>22.634594</v>
      </c>
      <c r="C18">
        <v>286.85864299999997</v>
      </c>
      <c r="D18">
        <v>73.457672000000002</v>
      </c>
      <c r="E18">
        <v>70.062325000000001</v>
      </c>
      <c r="F18">
        <v>36.442630999999999</v>
      </c>
      <c r="G18">
        <v>1385.589966</v>
      </c>
      <c r="H18">
        <v>3.0329999999999999</v>
      </c>
    </row>
    <row r="19" spans="1:8">
      <c r="A19" s="1">
        <v>39569</v>
      </c>
      <c r="B19">
        <v>24.560389000000001</v>
      </c>
      <c r="C19">
        <v>292.60791</v>
      </c>
      <c r="D19">
        <v>70.368904000000001</v>
      </c>
      <c r="E19">
        <v>72.732140000000001</v>
      </c>
      <c r="F19">
        <v>38.041752000000002</v>
      </c>
      <c r="G19">
        <v>1400.380005</v>
      </c>
      <c r="H19">
        <v>3.407</v>
      </c>
    </row>
    <row r="20" spans="1:8">
      <c r="A20" s="1">
        <v>39601</v>
      </c>
      <c r="B20">
        <v>21.787503999999998</v>
      </c>
      <c r="C20">
        <v>262.94751000000002</v>
      </c>
      <c r="D20">
        <v>69.869438000000002</v>
      </c>
      <c r="E20">
        <v>72.717467999999997</v>
      </c>
      <c r="F20">
        <v>30.81352</v>
      </c>
      <c r="G20">
        <v>1280</v>
      </c>
      <c r="H20">
        <v>3.3410000000000002</v>
      </c>
    </row>
    <row r="21" spans="1:8">
      <c r="A21" s="1">
        <v>39630</v>
      </c>
      <c r="B21">
        <v>20.682774999999999</v>
      </c>
      <c r="C21">
        <v>236.63876300000001</v>
      </c>
      <c r="D21">
        <v>63.764881000000003</v>
      </c>
      <c r="E21">
        <v>62.029544999999999</v>
      </c>
      <c r="F21">
        <v>24.999511999999999</v>
      </c>
      <c r="G21">
        <v>1267.380005</v>
      </c>
      <c r="H21">
        <v>3.266</v>
      </c>
    </row>
    <row r="22" spans="1:8">
      <c r="A22" s="1">
        <v>39661</v>
      </c>
      <c r="B22">
        <v>22.059457999999999</v>
      </c>
      <c r="C22">
        <v>231.41398599999999</v>
      </c>
      <c r="D22">
        <v>63.755867000000002</v>
      </c>
      <c r="E22">
        <v>63.799587000000002</v>
      </c>
      <c r="F22">
        <v>26.128610999999999</v>
      </c>
      <c r="G22">
        <v>1282.829956</v>
      </c>
      <c r="H22">
        <v>3.089</v>
      </c>
    </row>
    <row r="23" spans="1:8">
      <c r="A23" s="1">
        <v>39693</v>
      </c>
      <c r="B23">
        <v>14.789581999999999</v>
      </c>
      <c r="C23">
        <v>200.06028699999999</v>
      </c>
      <c r="D23">
        <v>61.883274</v>
      </c>
      <c r="E23">
        <v>60.961426000000003</v>
      </c>
      <c r="F23">
        <v>22.776092999999999</v>
      </c>
      <c r="G23">
        <v>1166.3599850000001</v>
      </c>
      <c r="H23">
        <v>2.9860000000000002</v>
      </c>
    </row>
    <row r="24" spans="1:8">
      <c r="A24" s="1">
        <v>39722</v>
      </c>
      <c r="B24">
        <v>13.999746999999999</v>
      </c>
      <c r="C24">
        <v>179.500809</v>
      </c>
      <c r="D24">
        <v>59.062427999999997</v>
      </c>
      <c r="E24">
        <v>55.137272000000003</v>
      </c>
      <c r="F24">
        <v>15.469702</v>
      </c>
      <c r="G24">
        <v>968.75</v>
      </c>
      <c r="H24">
        <v>2.8210000000000002</v>
      </c>
    </row>
    <row r="25" spans="1:8">
      <c r="A25" s="1">
        <v>39755</v>
      </c>
      <c r="B25">
        <v>12.058337</v>
      </c>
      <c r="C25">
        <v>146.333923</v>
      </c>
      <c r="D25">
        <v>64.234688000000006</v>
      </c>
      <c r="E25">
        <v>58.902424000000003</v>
      </c>
      <c r="F25">
        <v>13.905218</v>
      </c>
      <c r="G25">
        <v>896.23999000000003</v>
      </c>
      <c r="H25">
        <v>1.944</v>
      </c>
    </row>
    <row r="26" spans="1:8">
      <c r="A26" s="1">
        <v>39783</v>
      </c>
      <c r="B26">
        <v>11.105848999999999</v>
      </c>
      <c r="C26">
        <v>153.67160000000001</v>
      </c>
      <c r="D26">
        <v>63.978233000000003</v>
      </c>
      <c r="E26">
        <v>55.145072999999996</v>
      </c>
      <c r="F26">
        <v>16.398306000000002</v>
      </c>
      <c r="G26">
        <v>903.25</v>
      </c>
      <c r="H26">
        <v>1.5509999999999999</v>
      </c>
    </row>
    <row r="27" spans="1:8">
      <c r="A27" s="1">
        <v>39815</v>
      </c>
      <c r="B27">
        <v>11.727830000000001</v>
      </c>
      <c r="C27">
        <v>169.096191</v>
      </c>
      <c r="D27">
        <v>61.293441999999999</v>
      </c>
      <c r="E27">
        <v>52.573073999999998</v>
      </c>
      <c r="F27">
        <v>18.277591999999999</v>
      </c>
      <c r="G27">
        <v>825.88000499999998</v>
      </c>
      <c r="H27">
        <v>1.873</v>
      </c>
    </row>
    <row r="28" spans="1:8">
      <c r="A28" s="1">
        <v>39846</v>
      </c>
      <c r="B28">
        <v>11.621130000000001</v>
      </c>
      <c r="C28">
        <v>168.82647700000001</v>
      </c>
      <c r="D28">
        <v>54.691372000000001</v>
      </c>
      <c r="E28">
        <v>45.676304000000002</v>
      </c>
      <c r="F28">
        <v>14.779109999999999</v>
      </c>
      <c r="G28">
        <v>735.09002699999996</v>
      </c>
      <c r="H28">
        <v>2.02</v>
      </c>
    </row>
    <row r="29" spans="1:8">
      <c r="A29" s="1">
        <v>39874</v>
      </c>
      <c r="B29">
        <v>13.678348</v>
      </c>
      <c r="C29">
        <v>173.85644500000001</v>
      </c>
      <c r="D29">
        <v>54.852463</v>
      </c>
      <c r="E29">
        <v>50.589267999999997</v>
      </c>
      <c r="F29">
        <v>13.650463999999999</v>
      </c>
      <c r="G29">
        <v>797.86999500000002</v>
      </c>
      <c r="H29">
        <v>1.675</v>
      </c>
    </row>
    <row r="30" spans="1:8">
      <c r="A30" s="1">
        <v>39904</v>
      </c>
      <c r="B30">
        <v>16.373158</v>
      </c>
      <c r="C30">
        <v>197.78755200000001</v>
      </c>
      <c r="D30">
        <v>53.700642000000002</v>
      </c>
      <c r="E30">
        <v>49.731566999999998</v>
      </c>
      <c r="F30">
        <v>15.129901</v>
      </c>
      <c r="G30">
        <v>872.80999799999995</v>
      </c>
      <c r="H30">
        <v>2.0169999999999999</v>
      </c>
    </row>
    <row r="31" spans="1:8">
      <c r="A31" s="1">
        <v>39934</v>
      </c>
      <c r="B31">
        <v>17.671768</v>
      </c>
      <c r="C31">
        <v>208.40695199999999</v>
      </c>
      <c r="D31">
        <v>56.19265</v>
      </c>
      <c r="E31">
        <v>50.645603000000001</v>
      </c>
      <c r="F31">
        <v>17.183430000000001</v>
      </c>
      <c r="G31">
        <v>919.14001499999995</v>
      </c>
      <c r="H31">
        <v>2.347</v>
      </c>
    </row>
    <row r="32" spans="1:8">
      <c r="A32" s="1">
        <v>39965</v>
      </c>
      <c r="B32">
        <v>18.533173000000001</v>
      </c>
      <c r="C32">
        <v>210.584778</v>
      </c>
      <c r="D32">
        <v>56.646408000000001</v>
      </c>
      <c r="E32">
        <v>50.326549999999997</v>
      </c>
      <c r="F32">
        <v>12.973989</v>
      </c>
      <c r="G32">
        <v>919.32000700000003</v>
      </c>
      <c r="H32">
        <v>2.5579999999999998</v>
      </c>
    </row>
    <row r="33" spans="1:8">
      <c r="A33" s="1">
        <v>39995</v>
      </c>
      <c r="B33">
        <v>21.260513</v>
      </c>
      <c r="C33">
        <v>221.30407700000001</v>
      </c>
      <c r="D33">
        <v>57.035339</v>
      </c>
      <c r="E33">
        <v>52.772613999999997</v>
      </c>
      <c r="F33">
        <v>13.826627</v>
      </c>
      <c r="G33">
        <v>987.47997999999995</v>
      </c>
      <c r="H33">
        <v>2.5329999999999999</v>
      </c>
    </row>
    <row r="34" spans="1:8">
      <c r="A34" s="1">
        <v>40028</v>
      </c>
      <c r="B34">
        <v>21.887699000000001</v>
      </c>
      <c r="C34">
        <v>230.60479699999999</v>
      </c>
      <c r="D34">
        <v>56.372844999999998</v>
      </c>
      <c r="E34">
        <v>53.661338999999998</v>
      </c>
      <c r="F34">
        <v>14.512599</v>
      </c>
      <c r="G34">
        <v>1020.619995</v>
      </c>
      <c r="H34">
        <v>2.39</v>
      </c>
    </row>
    <row r="35" spans="1:8">
      <c r="A35" s="1">
        <v>40057</v>
      </c>
      <c r="B35">
        <v>24.117975000000001</v>
      </c>
      <c r="C35">
        <v>247.67775</v>
      </c>
      <c r="D35">
        <v>55.932620999999997</v>
      </c>
      <c r="E35">
        <v>54.037289000000001</v>
      </c>
      <c r="F35">
        <v>15.015969999999999</v>
      </c>
      <c r="G35">
        <v>1057.079956</v>
      </c>
      <c r="H35">
        <v>2.3180000000000001</v>
      </c>
    </row>
    <row r="36" spans="1:8">
      <c r="A36" s="1">
        <v>40087</v>
      </c>
      <c r="B36">
        <v>24.527858999999999</v>
      </c>
      <c r="C36">
        <v>267.792664</v>
      </c>
      <c r="D36">
        <v>58.427208</v>
      </c>
      <c r="E36">
        <v>58.725174000000003</v>
      </c>
      <c r="F36">
        <v>14.016971</v>
      </c>
      <c r="G36">
        <v>1036.1899410000001</v>
      </c>
      <c r="H36">
        <v>2.3220000000000001</v>
      </c>
    </row>
    <row r="37" spans="1:8">
      <c r="A37" s="1">
        <v>40119</v>
      </c>
      <c r="B37">
        <v>26.012540999999999</v>
      </c>
      <c r="C37">
        <v>291.20929000000001</v>
      </c>
      <c r="D37">
        <v>61.555176000000003</v>
      </c>
      <c r="E37">
        <v>60.403038000000002</v>
      </c>
      <c r="F37">
        <v>12.410561</v>
      </c>
      <c r="G37">
        <v>1095.630005</v>
      </c>
      <c r="H37">
        <v>2.0059999999999998</v>
      </c>
    </row>
    <row r="38" spans="1:8">
      <c r="A38" s="1">
        <v>40148</v>
      </c>
      <c r="B38">
        <v>27.420453999999999</v>
      </c>
      <c r="C38">
        <v>309.68084700000003</v>
      </c>
      <c r="D38">
        <v>55.913780000000003</v>
      </c>
      <c r="E38">
        <v>59.590336000000001</v>
      </c>
      <c r="F38">
        <v>13.08225</v>
      </c>
      <c r="G38">
        <v>1115.099976</v>
      </c>
      <c r="H38">
        <v>2.6859999999999999</v>
      </c>
    </row>
    <row r="39" spans="1:8">
      <c r="A39" s="1">
        <v>40182</v>
      </c>
      <c r="B39">
        <v>24.991091000000001</v>
      </c>
      <c r="C39">
        <v>264.70575000000002</v>
      </c>
      <c r="D39">
        <v>52.830691999999999</v>
      </c>
      <c r="E39">
        <v>55.820953000000003</v>
      </c>
      <c r="F39">
        <v>14.386561</v>
      </c>
      <c r="G39">
        <v>1073.869995</v>
      </c>
      <c r="H39">
        <v>2.3479999999999999</v>
      </c>
    </row>
    <row r="40" spans="1:8">
      <c r="A40" s="1">
        <v>40210</v>
      </c>
      <c r="B40">
        <v>26.625412000000001</v>
      </c>
      <c r="C40">
        <v>263.13732900000002</v>
      </c>
      <c r="D40">
        <v>53.645781999999997</v>
      </c>
      <c r="E40">
        <v>56.495857000000001</v>
      </c>
      <c r="F40">
        <v>13.721754000000001</v>
      </c>
      <c r="G40">
        <v>1104.48999</v>
      </c>
      <c r="H40">
        <v>2.2839999999999998</v>
      </c>
    </row>
    <row r="41" spans="1:8">
      <c r="A41" s="1">
        <v>40238</v>
      </c>
      <c r="B41">
        <v>30.578499000000001</v>
      </c>
      <c r="C41">
        <v>283.27722199999999</v>
      </c>
      <c r="D41">
        <v>55.279919</v>
      </c>
      <c r="E41">
        <v>59.25423</v>
      </c>
      <c r="F41">
        <v>15.429136</v>
      </c>
      <c r="G41">
        <v>1169.4300539999999</v>
      </c>
      <c r="H41">
        <v>2.56</v>
      </c>
    </row>
    <row r="42" spans="1:8">
      <c r="A42" s="1">
        <v>40269</v>
      </c>
      <c r="B42">
        <v>33.973362000000002</v>
      </c>
      <c r="C42">
        <v>262.58785999999998</v>
      </c>
      <c r="D42">
        <v>55.931914999999996</v>
      </c>
      <c r="E42">
        <v>63.637931999999999</v>
      </c>
      <c r="F42">
        <v>16.282834999999999</v>
      </c>
      <c r="G42">
        <v>1186.6899410000001</v>
      </c>
      <c r="H42">
        <v>2.42</v>
      </c>
    </row>
    <row r="43" spans="1:8">
      <c r="A43" s="1">
        <v>40301</v>
      </c>
      <c r="B43">
        <v>33.425552000000003</v>
      </c>
      <c r="C43">
        <v>242.572845</v>
      </c>
      <c r="D43">
        <v>50.237698000000002</v>
      </c>
      <c r="E43">
        <v>58.261642000000002</v>
      </c>
      <c r="F43">
        <v>14.666691999999999</v>
      </c>
      <c r="G43">
        <v>1089.410034</v>
      </c>
      <c r="H43">
        <v>2.097</v>
      </c>
    </row>
    <row r="44" spans="1:8">
      <c r="A44" s="1">
        <v>40330</v>
      </c>
      <c r="B44">
        <v>32.729401000000003</v>
      </c>
      <c r="C44">
        <v>222.253128</v>
      </c>
      <c r="D44">
        <v>47.420864000000002</v>
      </c>
      <c r="E44">
        <v>53.521526000000001</v>
      </c>
      <c r="F44">
        <v>14.117087</v>
      </c>
      <c r="G44">
        <v>1030.709961</v>
      </c>
      <c r="H44">
        <v>1.7949999999999999</v>
      </c>
    </row>
    <row r="45" spans="1:8">
      <c r="A45" s="1">
        <v>40360</v>
      </c>
      <c r="B45">
        <v>33.473694000000002</v>
      </c>
      <c r="C45">
        <v>242.183243</v>
      </c>
      <c r="D45">
        <v>49.589576999999998</v>
      </c>
      <c r="E45">
        <v>60.107211999999997</v>
      </c>
      <c r="F45">
        <v>13.339779999999999</v>
      </c>
      <c r="G45">
        <v>1101.599976</v>
      </c>
      <c r="H45">
        <v>1.5980000000000001</v>
      </c>
    </row>
    <row r="46" spans="1:8">
      <c r="A46" s="1">
        <v>40392</v>
      </c>
      <c r="B46">
        <v>31.632480999999999</v>
      </c>
      <c r="C46">
        <v>224.78559899999999</v>
      </c>
      <c r="D46">
        <v>49.467407000000001</v>
      </c>
      <c r="E46">
        <v>58.973675</v>
      </c>
      <c r="F46">
        <v>12.418742</v>
      </c>
      <c r="G46">
        <v>1049.329956</v>
      </c>
      <c r="H46">
        <v>1.3420000000000001</v>
      </c>
    </row>
    <row r="47" spans="1:8">
      <c r="A47" s="1">
        <v>40422</v>
      </c>
      <c r="B47">
        <v>36.921908999999999</v>
      </c>
      <c r="C47">
        <v>262.63284299999998</v>
      </c>
      <c r="D47">
        <v>51.71022</v>
      </c>
      <c r="E47">
        <v>64.522362000000001</v>
      </c>
      <c r="F47">
        <v>13.788974</v>
      </c>
      <c r="G47">
        <v>1141.1999510000001</v>
      </c>
      <c r="H47">
        <v>1.2809999999999999</v>
      </c>
    </row>
    <row r="48" spans="1:8">
      <c r="A48" s="1">
        <v>40452</v>
      </c>
      <c r="B48">
        <v>39.163898000000003</v>
      </c>
      <c r="C48">
        <v>306.54397599999999</v>
      </c>
      <c r="D48">
        <v>55.643509000000002</v>
      </c>
      <c r="E48">
        <v>65.756279000000006</v>
      </c>
      <c r="F48">
        <v>14.135476000000001</v>
      </c>
      <c r="G48">
        <v>1183.26001</v>
      </c>
      <c r="H48">
        <v>1.179</v>
      </c>
    </row>
    <row r="49" spans="1:8">
      <c r="A49" s="1">
        <v>40483</v>
      </c>
      <c r="B49">
        <v>40.487231999999999</v>
      </c>
      <c r="C49">
        <v>277.57788099999999</v>
      </c>
      <c r="D49">
        <v>58.579234999999997</v>
      </c>
      <c r="E49">
        <v>65.010254000000003</v>
      </c>
      <c r="F49">
        <v>15.378841</v>
      </c>
      <c r="G49">
        <v>1180.5500489999999</v>
      </c>
      <c r="H49">
        <v>1.464</v>
      </c>
    </row>
    <row r="50" spans="1:8">
      <c r="A50" s="1">
        <v>40513</v>
      </c>
      <c r="B50">
        <v>41.971916</v>
      </c>
      <c r="C50">
        <v>296.68881199999998</v>
      </c>
      <c r="D50">
        <v>61.577258999999998</v>
      </c>
      <c r="E50">
        <v>73.263992000000002</v>
      </c>
      <c r="F50">
        <v>18.252506</v>
      </c>
      <c r="G50">
        <v>1257.6400149999999</v>
      </c>
      <c r="H50">
        <v>2.016</v>
      </c>
    </row>
    <row r="51" spans="1:8">
      <c r="A51" s="1">
        <v>40546</v>
      </c>
      <c r="B51">
        <v>44.152748000000003</v>
      </c>
      <c r="C51">
        <v>299.88064600000001</v>
      </c>
      <c r="D51">
        <v>67.943832</v>
      </c>
      <c r="E51">
        <v>76.218643</v>
      </c>
      <c r="F51">
        <v>20.020914000000001</v>
      </c>
      <c r="G51">
        <v>1286.119995</v>
      </c>
      <c r="H51">
        <v>1.952</v>
      </c>
    </row>
    <row r="52" spans="1:8">
      <c r="A52" s="1">
        <v>40575</v>
      </c>
      <c r="B52">
        <v>45.960132999999999</v>
      </c>
      <c r="C52">
        <v>306.39413500000001</v>
      </c>
      <c r="D52">
        <v>72.407805999999994</v>
      </c>
      <c r="E52">
        <v>83.926674000000006</v>
      </c>
      <c r="F52">
        <v>22.287044999999999</v>
      </c>
      <c r="G52">
        <v>1327.219971</v>
      </c>
      <c r="H52">
        <v>2.137</v>
      </c>
    </row>
    <row r="53" spans="1:8">
      <c r="A53" s="1">
        <v>40603</v>
      </c>
      <c r="B53">
        <v>45.348564000000003</v>
      </c>
      <c r="C53">
        <v>293.08743299999998</v>
      </c>
      <c r="D53">
        <v>71.222594999999998</v>
      </c>
      <c r="E53">
        <v>86.952072000000001</v>
      </c>
      <c r="F53">
        <v>23.584095000000001</v>
      </c>
      <c r="G53">
        <v>1325.829956</v>
      </c>
      <c r="H53">
        <v>2.2250000000000001</v>
      </c>
    </row>
    <row r="54" spans="1:8">
      <c r="A54" s="1">
        <v>40634</v>
      </c>
      <c r="B54">
        <v>45.559356999999999</v>
      </c>
      <c r="C54">
        <v>271.77868699999999</v>
      </c>
      <c r="D54">
        <v>74.481926000000001</v>
      </c>
      <c r="E54">
        <v>88.529494999999997</v>
      </c>
      <c r="F54">
        <v>22.38195</v>
      </c>
      <c r="G54">
        <v>1363.6099850000001</v>
      </c>
      <c r="H54">
        <v>1.9750000000000001</v>
      </c>
    </row>
    <row r="55" spans="1:8">
      <c r="A55" s="1">
        <v>40665</v>
      </c>
      <c r="B55">
        <v>45.260078</v>
      </c>
      <c r="C55">
        <v>264.246216</v>
      </c>
      <c r="D55">
        <v>71.064628999999996</v>
      </c>
      <c r="E55">
        <v>85.521277999999995</v>
      </c>
      <c r="F55">
        <v>21.790078999999999</v>
      </c>
      <c r="G55">
        <v>1345.1999510000001</v>
      </c>
      <c r="H55">
        <v>1.6879999999999999</v>
      </c>
    </row>
    <row r="56" spans="1:8">
      <c r="A56" s="1">
        <v>40695</v>
      </c>
      <c r="B56">
        <v>43.677807000000001</v>
      </c>
      <c r="C56">
        <v>252.9375</v>
      </c>
      <c r="D56">
        <v>69.285240000000002</v>
      </c>
      <c r="E56">
        <v>83.833832000000001</v>
      </c>
      <c r="F56">
        <v>20.260811</v>
      </c>
      <c r="G56">
        <v>1320.6400149999999</v>
      </c>
      <c r="H56">
        <v>1.754</v>
      </c>
    </row>
    <row r="57" spans="1:8">
      <c r="A57" s="1">
        <v>40725</v>
      </c>
      <c r="B57">
        <v>50.809750000000001</v>
      </c>
      <c r="C57">
        <v>301.54397599999999</v>
      </c>
      <c r="D57">
        <v>67.931556999999998</v>
      </c>
      <c r="E57">
        <v>84.795753000000005</v>
      </c>
      <c r="F57">
        <v>19.904250999999999</v>
      </c>
      <c r="G57">
        <v>1292.280029</v>
      </c>
      <c r="H57">
        <v>1.373</v>
      </c>
    </row>
    <row r="58" spans="1:8">
      <c r="A58" s="1">
        <v>40756</v>
      </c>
      <c r="B58">
        <v>50.074565999999997</v>
      </c>
      <c r="C58">
        <v>270.21026599999999</v>
      </c>
      <c r="D58">
        <v>63.435265000000001</v>
      </c>
      <c r="E58">
        <v>81.218597000000003</v>
      </c>
      <c r="F58">
        <v>18.045732000000001</v>
      </c>
      <c r="G58">
        <v>1218.8900149999999</v>
      </c>
      <c r="H58">
        <v>0.95199999999999996</v>
      </c>
    </row>
    <row r="59" spans="1:8">
      <c r="A59" s="1">
        <v>40787</v>
      </c>
      <c r="B59">
        <v>49.617840000000001</v>
      </c>
      <c r="C59">
        <v>257.26318400000002</v>
      </c>
      <c r="D59">
        <v>62.244033999999999</v>
      </c>
      <c r="E59">
        <v>76.082854999999995</v>
      </c>
      <c r="F59">
        <v>14.122064999999999</v>
      </c>
      <c r="G59">
        <v>1131.420044</v>
      </c>
      <c r="H59">
        <v>0.96499999999999997</v>
      </c>
    </row>
    <row r="60" spans="1:8">
      <c r="A60" s="1">
        <v>40819</v>
      </c>
      <c r="B60">
        <v>52.670485999999997</v>
      </c>
      <c r="C60">
        <v>296.024475</v>
      </c>
      <c r="D60">
        <v>66.923264000000003</v>
      </c>
      <c r="E60">
        <v>86.321472</v>
      </c>
      <c r="F60">
        <v>19.538959999999999</v>
      </c>
      <c r="G60">
        <v>1253.3000489999999</v>
      </c>
      <c r="H60">
        <v>1.0109999999999999</v>
      </c>
    </row>
    <row r="61" spans="1:8">
      <c r="A61" s="1">
        <v>40848</v>
      </c>
      <c r="B61">
        <v>49.732346</v>
      </c>
      <c r="C61">
        <v>299.396118</v>
      </c>
      <c r="D61">
        <v>69.347977</v>
      </c>
      <c r="E61">
        <v>85.156959999999998</v>
      </c>
      <c r="F61">
        <v>17.796082999999999</v>
      </c>
      <c r="G61">
        <v>1246.959961</v>
      </c>
      <c r="H61">
        <v>0.95199999999999996</v>
      </c>
    </row>
    <row r="62" spans="1:8">
      <c r="A62" s="1">
        <v>40878</v>
      </c>
      <c r="B62">
        <v>52.699112</v>
      </c>
      <c r="C62">
        <v>322.62792999999999</v>
      </c>
      <c r="D62">
        <v>73.072281000000004</v>
      </c>
      <c r="E62">
        <v>88.121971000000002</v>
      </c>
      <c r="F62">
        <v>16.821176999999999</v>
      </c>
      <c r="G62">
        <v>1257.599976</v>
      </c>
      <c r="H62">
        <v>0.83</v>
      </c>
    </row>
    <row r="63" spans="1:8">
      <c r="A63" s="1">
        <v>40911</v>
      </c>
      <c r="B63">
        <v>59.397751</v>
      </c>
      <c r="C63">
        <v>289.76574699999998</v>
      </c>
      <c r="D63">
        <v>72.192924000000005</v>
      </c>
      <c r="E63">
        <v>85.405426000000006</v>
      </c>
      <c r="F63">
        <v>19.170544</v>
      </c>
      <c r="G63">
        <v>1312.410034</v>
      </c>
      <c r="H63">
        <v>0.71099999999999997</v>
      </c>
    </row>
    <row r="64" spans="1:8">
      <c r="A64" s="1">
        <v>40940</v>
      </c>
      <c r="B64">
        <v>70.582984999999994</v>
      </c>
      <c r="C64">
        <v>308.816711</v>
      </c>
      <c r="D64">
        <v>74.980507000000003</v>
      </c>
      <c r="E64">
        <v>91.067406000000005</v>
      </c>
      <c r="F64">
        <v>19.689136999999999</v>
      </c>
      <c r="G64">
        <v>1365.6800539999999</v>
      </c>
      <c r="H64">
        <v>0.875</v>
      </c>
    </row>
    <row r="65" spans="1:8">
      <c r="A65" s="1">
        <v>40969</v>
      </c>
      <c r="B65">
        <v>78.014206000000001</v>
      </c>
      <c r="C65">
        <v>320.30026199999998</v>
      </c>
      <c r="D65">
        <v>75.179885999999996</v>
      </c>
      <c r="E65">
        <v>89.473388999999997</v>
      </c>
      <c r="F65">
        <v>20.718214</v>
      </c>
      <c r="G65">
        <v>1408.469971</v>
      </c>
      <c r="H65">
        <v>1.0429999999999999</v>
      </c>
    </row>
    <row r="66" spans="1:8">
      <c r="A66" s="1">
        <v>41001</v>
      </c>
      <c r="B66">
        <v>75.988213000000002</v>
      </c>
      <c r="C66">
        <v>302.12341300000003</v>
      </c>
      <c r="D66">
        <v>74.841812000000004</v>
      </c>
      <c r="E66">
        <v>88.930923000000007</v>
      </c>
      <c r="F66">
        <v>19.857970999999999</v>
      </c>
      <c r="G66">
        <v>1397.910034</v>
      </c>
      <c r="H66">
        <v>0.81100000000000005</v>
      </c>
    </row>
    <row r="67" spans="1:8">
      <c r="A67" s="1">
        <v>41030</v>
      </c>
      <c r="B67">
        <v>75.174957000000006</v>
      </c>
      <c r="C67">
        <v>290.14035000000001</v>
      </c>
      <c r="D67">
        <v>68.628128000000004</v>
      </c>
      <c r="E67">
        <v>82.784194999999997</v>
      </c>
      <c r="F67">
        <v>17.083207999999999</v>
      </c>
      <c r="G67">
        <v>1310.329956</v>
      </c>
      <c r="H67">
        <v>0.67100000000000004</v>
      </c>
    </row>
    <row r="68" spans="1:8">
      <c r="A68" s="1">
        <v>41061</v>
      </c>
      <c r="B68">
        <v>75.990821999999994</v>
      </c>
      <c r="C68">
        <v>289.74575800000002</v>
      </c>
      <c r="D68">
        <v>74.685349000000002</v>
      </c>
      <c r="E68">
        <v>88.838706999999999</v>
      </c>
      <c r="F68">
        <v>19.552575999999998</v>
      </c>
      <c r="G68">
        <v>1362.160034</v>
      </c>
      <c r="H68">
        <v>0.72899999999999998</v>
      </c>
    </row>
    <row r="69" spans="1:8">
      <c r="A69" s="1">
        <v>41092</v>
      </c>
      <c r="B69">
        <v>79.472862000000006</v>
      </c>
      <c r="C69">
        <v>316.16937300000001</v>
      </c>
      <c r="D69">
        <v>75.802536000000003</v>
      </c>
      <c r="E69">
        <v>92.274360999999999</v>
      </c>
      <c r="F69">
        <v>22.264842999999999</v>
      </c>
      <c r="G69">
        <v>1379.3199460000001</v>
      </c>
      <c r="H69">
        <v>0.59899999999999998</v>
      </c>
    </row>
    <row r="70" spans="1:8">
      <c r="A70" s="1">
        <v>41122</v>
      </c>
      <c r="B70">
        <v>86.933532999999997</v>
      </c>
      <c r="C70">
        <v>342.20336900000001</v>
      </c>
      <c r="D70">
        <v>76.690467999999996</v>
      </c>
      <c r="E70">
        <v>95.203025999999994</v>
      </c>
      <c r="F70">
        <v>25.462173</v>
      </c>
      <c r="G70">
        <v>1406.579956</v>
      </c>
      <c r="H70">
        <v>0.59599999999999997</v>
      </c>
    </row>
    <row r="71" spans="1:8">
      <c r="A71" s="1">
        <v>41156</v>
      </c>
      <c r="B71">
        <v>87.176597999999998</v>
      </c>
      <c r="C71">
        <v>376.87377900000001</v>
      </c>
      <c r="D71">
        <v>80.336121000000006</v>
      </c>
      <c r="E71">
        <v>98.937804999999997</v>
      </c>
      <c r="F71">
        <v>25.804276000000002</v>
      </c>
      <c r="G71">
        <v>1440.670044</v>
      </c>
      <c r="H71">
        <v>0.63</v>
      </c>
    </row>
    <row r="72" spans="1:8">
      <c r="A72" s="1">
        <v>41183</v>
      </c>
      <c r="B72">
        <v>77.796386999999996</v>
      </c>
      <c r="C72">
        <v>339.81076000000002</v>
      </c>
      <c r="D72">
        <v>80.090148999999997</v>
      </c>
      <c r="E72">
        <v>93.573302999999996</v>
      </c>
      <c r="F72">
        <v>23.702788999999999</v>
      </c>
      <c r="G72">
        <v>1412.160034</v>
      </c>
      <c r="H72">
        <v>0.71499999999999997</v>
      </c>
    </row>
    <row r="73" spans="1:8">
      <c r="A73" s="1">
        <v>41214</v>
      </c>
      <c r="B73">
        <v>76.833693999999994</v>
      </c>
      <c r="C73">
        <v>348.83676100000002</v>
      </c>
      <c r="D73">
        <v>77.913162</v>
      </c>
      <c r="E73">
        <v>90.484718000000001</v>
      </c>
      <c r="F73">
        <v>26.434263000000001</v>
      </c>
      <c r="G73">
        <v>1416.1800539999999</v>
      </c>
      <c r="H73">
        <v>0.61399999999999999</v>
      </c>
    </row>
    <row r="74" spans="1:8">
      <c r="A74" s="1">
        <v>41246</v>
      </c>
      <c r="B74">
        <v>69.861580000000004</v>
      </c>
      <c r="C74">
        <v>353.33728000000002</v>
      </c>
      <c r="D74">
        <v>76.507651999999993</v>
      </c>
      <c r="E74">
        <v>92.582237000000006</v>
      </c>
      <c r="F74">
        <v>27.958368</v>
      </c>
      <c r="G74">
        <v>1426.1899410000001</v>
      </c>
      <c r="H74">
        <v>0.72499999999999998</v>
      </c>
    </row>
    <row r="75" spans="1:8">
      <c r="A75" s="1">
        <v>41276</v>
      </c>
      <c r="B75">
        <v>59.795276999999999</v>
      </c>
      <c r="C75">
        <v>377.46816999999999</v>
      </c>
      <c r="D75">
        <v>79.530829999999995</v>
      </c>
      <c r="E75">
        <v>98.583732999999995</v>
      </c>
      <c r="F75">
        <v>35.832928000000003</v>
      </c>
      <c r="G75">
        <v>1498.1099850000001</v>
      </c>
      <c r="H75">
        <v>0.88100000000000001</v>
      </c>
    </row>
    <row r="76" spans="1:8">
      <c r="A76" s="1">
        <v>41306</v>
      </c>
      <c r="B76">
        <v>58.283290999999998</v>
      </c>
      <c r="C76">
        <v>400.20049999999998</v>
      </c>
      <c r="D76">
        <v>79.665290999999996</v>
      </c>
      <c r="E76">
        <v>101.076851</v>
      </c>
      <c r="F76">
        <v>37.519711000000001</v>
      </c>
      <c r="G76">
        <v>1514.6800539999999</v>
      </c>
      <c r="H76">
        <v>0.76900000000000002</v>
      </c>
    </row>
    <row r="77" spans="1:8">
      <c r="A77" s="1">
        <v>41334</v>
      </c>
      <c r="B77">
        <v>58.449665000000003</v>
      </c>
      <c r="C77">
        <v>396.69897500000002</v>
      </c>
      <c r="D77">
        <v>80.163475000000005</v>
      </c>
      <c r="E77">
        <v>102.517723</v>
      </c>
      <c r="F77">
        <v>37.437407999999998</v>
      </c>
      <c r="G77">
        <v>1569.1899410000001</v>
      </c>
      <c r="H77">
        <v>0.76900000000000002</v>
      </c>
    </row>
    <row r="78" spans="1:8">
      <c r="A78" s="1">
        <v>41365</v>
      </c>
      <c r="B78">
        <v>58.465508</v>
      </c>
      <c r="C78">
        <v>411.87383999999997</v>
      </c>
      <c r="D78">
        <v>79.167098999999993</v>
      </c>
      <c r="E78">
        <v>105.27005800000001</v>
      </c>
      <c r="F78">
        <v>33.182602000000003</v>
      </c>
      <c r="G78">
        <v>1597.5699460000001</v>
      </c>
      <c r="H78">
        <v>0.67800000000000005</v>
      </c>
    </row>
    <row r="79" spans="1:8">
      <c r="A79" s="1">
        <v>41395</v>
      </c>
      <c r="B79">
        <v>59.776257000000001</v>
      </c>
      <c r="C79">
        <v>435.17559799999998</v>
      </c>
      <c r="D79">
        <v>81.040497000000002</v>
      </c>
      <c r="E79">
        <v>106.76262699999999</v>
      </c>
      <c r="F79">
        <v>36.759315000000001</v>
      </c>
      <c r="G79">
        <v>1630.73999</v>
      </c>
      <c r="H79">
        <v>1.0529999999999999</v>
      </c>
    </row>
    <row r="80" spans="1:8">
      <c r="A80" s="1">
        <v>41428</v>
      </c>
      <c r="B80">
        <v>52.705131999999999</v>
      </c>
      <c r="C80">
        <v>439.74600199999998</v>
      </c>
      <c r="D80">
        <v>80.932998999999995</v>
      </c>
      <c r="E80">
        <v>102.92699399999999</v>
      </c>
      <c r="F80">
        <v>31.457577000000001</v>
      </c>
      <c r="G80">
        <v>1606.280029</v>
      </c>
      <c r="H80">
        <v>1.385</v>
      </c>
    </row>
    <row r="81" spans="1:8">
      <c r="A81" s="1">
        <v>41456</v>
      </c>
      <c r="B81">
        <v>60.148417999999999</v>
      </c>
      <c r="C81">
        <v>443.432343</v>
      </c>
      <c r="D81">
        <v>83.978629999999995</v>
      </c>
      <c r="E81">
        <v>109.49366000000001</v>
      </c>
      <c r="F81">
        <v>32.362312000000003</v>
      </c>
      <c r="G81">
        <v>1685.7299800000001</v>
      </c>
      <c r="H81">
        <v>1.391</v>
      </c>
    </row>
    <row r="82" spans="1:8">
      <c r="A82" s="1">
        <v>41487</v>
      </c>
      <c r="B82">
        <v>65.186858999999998</v>
      </c>
      <c r="C82">
        <v>423.02771000000001</v>
      </c>
      <c r="D82">
        <v>78.615127999999999</v>
      </c>
      <c r="E82">
        <v>105.61009199999999</v>
      </c>
      <c r="F82">
        <v>32.341155999999998</v>
      </c>
      <c r="G82">
        <v>1632.969971</v>
      </c>
      <c r="H82">
        <v>1.601</v>
      </c>
    </row>
    <row r="83" spans="1:8">
      <c r="A83" s="1">
        <v>41520</v>
      </c>
      <c r="B83">
        <v>63.786034000000001</v>
      </c>
      <c r="C83">
        <v>437.51825000000002</v>
      </c>
      <c r="D83">
        <v>77.604927000000004</v>
      </c>
      <c r="E83">
        <v>106.548424</v>
      </c>
      <c r="F83">
        <v>31.085011999999999</v>
      </c>
      <c r="G83">
        <v>1681.5500489999999</v>
      </c>
      <c r="H83">
        <v>1.3879999999999999</v>
      </c>
    </row>
    <row r="84" spans="1:8">
      <c r="A84" s="1">
        <v>41548</v>
      </c>
      <c r="B84">
        <v>69.933846000000003</v>
      </c>
      <c r="C84">
        <v>514.77612299999998</v>
      </c>
      <c r="D84">
        <v>80.833961000000002</v>
      </c>
      <c r="E84">
        <v>105.197929</v>
      </c>
      <c r="F84">
        <v>37.474960000000003</v>
      </c>
      <c r="G84">
        <v>1756.540039</v>
      </c>
      <c r="H84">
        <v>1.3149999999999999</v>
      </c>
    </row>
    <row r="85" spans="1:8">
      <c r="A85" s="1">
        <v>41579</v>
      </c>
      <c r="B85">
        <v>74.832901000000007</v>
      </c>
      <c r="C85">
        <v>529.26660200000003</v>
      </c>
      <c r="D85">
        <v>84.889235999999997</v>
      </c>
      <c r="E85">
        <v>108.274361</v>
      </c>
      <c r="F85">
        <v>41.829963999999997</v>
      </c>
      <c r="G85">
        <v>1805.8100589999999</v>
      </c>
      <c r="H85">
        <v>1.367</v>
      </c>
    </row>
    <row r="86" spans="1:8">
      <c r="A86" s="1">
        <v>41610</v>
      </c>
      <c r="B86">
        <v>75.499046000000007</v>
      </c>
      <c r="C86">
        <v>559.79620399999999</v>
      </c>
      <c r="D86">
        <v>91.899765000000002</v>
      </c>
      <c r="E86">
        <v>110.458595</v>
      </c>
      <c r="F86">
        <v>46.111773999999997</v>
      </c>
      <c r="G86">
        <v>1848.3599850000001</v>
      </c>
      <c r="H86">
        <v>1.748</v>
      </c>
    </row>
    <row r="87" spans="1:8">
      <c r="A87" s="1">
        <v>41641</v>
      </c>
      <c r="B87">
        <v>67.368049999999997</v>
      </c>
      <c r="C87">
        <v>589.896118</v>
      </c>
      <c r="D87">
        <v>83.690544000000003</v>
      </c>
      <c r="E87">
        <v>98.715012000000002</v>
      </c>
      <c r="F87">
        <v>46.752212999999998</v>
      </c>
      <c r="G87">
        <v>1782.589966</v>
      </c>
      <c r="H87">
        <v>1.51</v>
      </c>
    </row>
    <row r="88" spans="1:8">
      <c r="A88" s="1">
        <v>41673</v>
      </c>
      <c r="B88">
        <v>71.242439000000005</v>
      </c>
      <c r="C88">
        <v>607.21881099999996</v>
      </c>
      <c r="D88">
        <v>88.042015000000006</v>
      </c>
      <c r="E88">
        <v>102.892853</v>
      </c>
      <c r="F88">
        <v>44.123623000000002</v>
      </c>
      <c r="G88">
        <v>1859.4499510000001</v>
      </c>
      <c r="H88">
        <v>1.5109999999999999</v>
      </c>
    </row>
    <row r="89" spans="1:8">
      <c r="A89" s="1">
        <v>41701</v>
      </c>
      <c r="B89">
        <v>72.663933</v>
      </c>
      <c r="C89">
        <v>556.97247300000004</v>
      </c>
      <c r="D89">
        <v>89.331512000000004</v>
      </c>
      <c r="E89">
        <v>106.086792</v>
      </c>
      <c r="F89">
        <v>48.832104000000001</v>
      </c>
      <c r="G89">
        <v>1872.339966</v>
      </c>
      <c r="H89">
        <v>1.732</v>
      </c>
    </row>
    <row r="90" spans="1:8">
      <c r="A90" s="1">
        <v>41730</v>
      </c>
      <c r="B90">
        <v>79.886466999999996</v>
      </c>
      <c r="C90">
        <v>526.66241500000001</v>
      </c>
      <c r="D90">
        <v>93.657248999999993</v>
      </c>
      <c r="E90">
        <v>111.983963</v>
      </c>
      <c r="F90">
        <v>52.574978000000002</v>
      </c>
      <c r="G90">
        <v>1883.9499510000001</v>
      </c>
      <c r="H90">
        <v>1.681</v>
      </c>
    </row>
    <row r="91" spans="1:8">
      <c r="A91" s="1">
        <v>41760</v>
      </c>
      <c r="B91">
        <v>86.174271000000005</v>
      </c>
      <c r="C91">
        <v>559.89257799999996</v>
      </c>
      <c r="D91">
        <v>92.562126000000006</v>
      </c>
      <c r="E91">
        <v>110.48349</v>
      </c>
      <c r="F91">
        <v>51.779938000000001</v>
      </c>
      <c r="G91">
        <v>1923.5699460000001</v>
      </c>
      <c r="H91">
        <v>1.528</v>
      </c>
    </row>
    <row r="92" spans="1:8">
      <c r="A92" s="1">
        <v>41792</v>
      </c>
      <c r="B92">
        <v>88.558014</v>
      </c>
      <c r="C92">
        <v>575.28259300000002</v>
      </c>
      <c r="D92">
        <v>92.700232999999997</v>
      </c>
      <c r="E92">
        <v>117.46575199999999</v>
      </c>
      <c r="F92">
        <v>46.283225999999999</v>
      </c>
      <c r="G92">
        <v>1960.2299800000001</v>
      </c>
      <c r="H92">
        <v>1.625</v>
      </c>
    </row>
    <row r="93" spans="1:8">
      <c r="A93" s="1">
        <v>41821</v>
      </c>
      <c r="B93">
        <v>91.102401999999998</v>
      </c>
      <c r="C93">
        <v>571.60260000000005</v>
      </c>
      <c r="D93">
        <v>91.098151999999999</v>
      </c>
      <c r="E93">
        <v>116.287048</v>
      </c>
      <c r="F93">
        <v>46.929896999999997</v>
      </c>
      <c r="G93">
        <v>1930.670044</v>
      </c>
      <c r="H93">
        <v>1.7629999999999999</v>
      </c>
    </row>
    <row r="94" spans="1:8">
      <c r="A94" s="1">
        <v>41852</v>
      </c>
      <c r="B94">
        <v>98.163642999999993</v>
      </c>
      <c r="C94">
        <v>571.60260000000005</v>
      </c>
      <c r="D94">
        <v>92.214866999999998</v>
      </c>
      <c r="E94">
        <v>117.46597300000001</v>
      </c>
      <c r="F94">
        <v>50.278861999999997</v>
      </c>
      <c r="G94">
        <v>2003.369995</v>
      </c>
      <c r="H94">
        <v>1.6279999999999999</v>
      </c>
    </row>
    <row r="95" spans="1:8">
      <c r="A95" s="1">
        <v>41884</v>
      </c>
      <c r="B95">
        <v>96.487679</v>
      </c>
      <c r="C95">
        <v>577.36261000000002</v>
      </c>
      <c r="D95">
        <v>87.198959000000002</v>
      </c>
      <c r="E95">
        <v>108.273781</v>
      </c>
      <c r="F95">
        <v>42.970134999999999</v>
      </c>
      <c r="G95">
        <v>1972.290039</v>
      </c>
      <c r="H95">
        <v>1.78</v>
      </c>
    </row>
    <row r="96" spans="1:8">
      <c r="A96" s="1">
        <v>41913</v>
      </c>
      <c r="B96">
        <v>103.430954</v>
      </c>
      <c r="C96">
        <v>559.08252000000005</v>
      </c>
      <c r="D96">
        <v>89.665192000000005</v>
      </c>
      <c r="E96">
        <v>108.845451</v>
      </c>
      <c r="F96">
        <v>46.517699999999998</v>
      </c>
      <c r="G96">
        <v>2018.0500489999999</v>
      </c>
      <c r="H96">
        <v>1.613</v>
      </c>
    </row>
    <row r="97" spans="1:8">
      <c r="A97" s="1">
        <v>41946</v>
      </c>
      <c r="B97">
        <v>114.39244100000001</v>
      </c>
      <c r="C97">
        <v>541.83245799999997</v>
      </c>
      <c r="D97">
        <v>84.550713000000002</v>
      </c>
      <c r="E97">
        <v>99.707367000000005</v>
      </c>
      <c r="F97">
        <v>45.395397000000003</v>
      </c>
      <c r="G97">
        <v>2067.5600589999999</v>
      </c>
      <c r="H97">
        <v>1.5109999999999999</v>
      </c>
    </row>
    <row r="98" spans="1:8">
      <c r="A98" s="1">
        <v>41974</v>
      </c>
      <c r="B98">
        <v>106.168648</v>
      </c>
      <c r="C98">
        <v>526.40240500000004</v>
      </c>
      <c r="D98">
        <v>86.334366000000003</v>
      </c>
      <c r="E98">
        <v>102.73878499999999</v>
      </c>
      <c r="F98">
        <v>46.22654</v>
      </c>
      <c r="G98">
        <v>2058.8999020000001</v>
      </c>
      <c r="H98">
        <v>1.653</v>
      </c>
    </row>
    <row r="99" spans="1:8">
      <c r="A99" s="1">
        <v>42006</v>
      </c>
      <c r="B99">
        <v>112.68998000000001</v>
      </c>
      <c r="C99">
        <v>534.52246100000002</v>
      </c>
      <c r="D99">
        <v>81.637100000000004</v>
      </c>
      <c r="E99">
        <v>93.900940000000006</v>
      </c>
      <c r="F99">
        <v>49.383018</v>
      </c>
      <c r="G99">
        <v>1994.98999</v>
      </c>
      <c r="H99">
        <v>1.1870000000000001</v>
      </c>
    </row>
    <row r="100" spans="1:8">
      <c r="A100" s="1">
        <v>42037</v>
      </c>
      <c r="B100">
        <v>124.04647799999999</v>
      </c>
      <c r="C100">
        <v>558.40252699999996</v>
      </c>
      <c r="D100">
        <v>83.305367000000004</v>
      </c>
      <c r="E100">
        <v>98.661552</v>
      </c>
      <c r="F100">
        <v>58.033546000000001</v>
      </c>
      <c r="G100">
        <v>2104.5</v>
      </c>
      <c r="H100">
        <v>1.5049999999999999</v>
      </c>
    </row>
    <row r="101" spans="1:8">
      <c r="A101" s="1">
        <v>42065</v>
      </c>
      <c r="B101">
        <v>120.154938</v>
      </c>
      <c r="C101">
        <v>548.00244099999998</v>
      </c>
      <c r="D101">
        <v>79.974654999999998</v>
      </c>
      <c r="E101">
        <v>97.089332999999996</v>
      </c>
      <c r="F101">
        <v>59.849151999999997</v>
      </c>
      <c r="G101">
        <v>2067.889893</v>
      </c>
      <c r="H101">
        <v>1.375</v>
      </c>
    </row>
    <row r="102" spans="1:8">
      <c r="A102" s="1">
        <v>42095</v>
      </c>
      <c r="B102">
        <v>120.85019699999999</v>
      </c>
      <c r="C102">
        <v>537.34002699999996</v>
      </c>
      <c r="D102">
        <v>82.204543999999999</v>
      </c>
      <c r="E102">
        <v>102.712334</v>
      </c>
      <c r="F102">
        <v>53.527458000000003</v>
      </c>
      <c r="G102">
        <v>2085.51001</v>
      </c>
      <c r="H102">
        <v>1.4419999999999999</v>
      </c>
    </row>
    <row r="103" spans="1:8">
      <c r="A103" s="1">
        <v>42125</v>
      </c>
      <c r="B103">
        <v>126.329437</v>
      </c>
      <c r="C103">
        <v>532.10998500000005</v>
      </c>
      <c r="D103">
        <v>80.825858999999994</v>
      </c>
      <c r="E103">
        <v>96.207367000000005</v>
      </c>
      <c r="F103">
        <v>56.108581999999998</v>
      </c>
      <c r="G103">
        <v>2107.389893</v>
      </c>
      <c r="H103">
        <v>1.4670000000000001</v>
      </c>
    </row>
    <row r="104" spans="1:8">
      <c r="A104" s="1">
        <v>42156</v>
      </c>
      <c r="B104">
        <v>121.62651099999999</v>
      </c>
      <c r="C104">
        <v>520.51000999999997</v>
      </c>
      <c r="D104">
        <v>78.928543000000005</v>
      </c>
      <c r="E104">
        <v>90.108008999999996</v>
      </c>
      <c r="F104">
        <v>59.290970000000002</v>
      </c>
      <c r="G104">
        <v>2063.110107</v>
      </c>
      <c r="H104">
        <v>1.6279999999999999</v>
      </c>
    </row>
    <row r="105" spans="1:8">
      <c r="A105" s="1">
        <v>42186</v>
      </c>
      <c r="B105">
        <v>117.62175000000001</v>
      </c>
      <c r="C105">
        <v>625.60998500000005</v>
      </c>
      <c r="D105">
        <v>75.143387000000004</v>
      </c>
      <c r="E105">
        <v>82.644936000000001</v>
      </c>
      <c r="F105">
        <v>62.521751000000002</v>
      </c>
      <c r="G105">
        <v>2103.8400879999999</v>
      </c>
      <c r="H105">
        <v>1.548</v>
      </c>
    </row>
    <row r="106" spans="1:8">
      <c r="A106" s="1">
        <v>42219</v>
      </c>
      <c r="B106">
        <v>109.835632</v>
      </c>
      <c r="C106">
        <v>618.25</v>
      </c>
      <c r="D106">
        <v>72.045051999999998</v>
      </c>
      <c r="E106">
        <v>76.602065999999994</v>
      </c>
      <c r="F106">
        <v>56.555503999999999</v>
      </c>
      <c r="G106">
        <v>1972.1800539999999</v>
      </c>
      <c r="H106">
        <v>1.5409999999999999</v>
      </c>
    </row>
    <row r="107" spans="1:8">
      <c r="A107" s="1">
        <v>42248</v>
      </c>
      <c r="B107">
        <v>107.43943</v>
      </c>
      <c r="C107">
        <v>608.419983</v>
      </c>
      <c r="D107">
        <v>71.192841000000001</v>
      </c>
      <c r="E107">
        <v>74.606376999999995</v>
      </c>
      <c r="F107">
        <v>57.279839000000003</v>
      </c>
      <c r="G107">
        <v>1920.030029</v>
      </c>
      <c r="H107">
        <v>1.375</v>
      </c>
    </row>
    <row r="108" spans="1:8">
      <c r="A108" s="1">
        <v>42278</v>
      </c>
      <c r="B108">
        <v>116.40083300000001</v>
      </c>
      <c r="C108">
        <v>710.80999799999995</v>
      </c>
      <c r="D108">
        <v>79.226578000000003</v>
      </c>
      <c r="E108">
        <v>85.956237999999999</v>
      </c>
      <c r="F108">
        <v>62.826735999999997</v>
      </c>
      <c r="G108">
        <v>2079.360107</v>
      </c>
      <c r="H108">
        <v>1.528</v>
      </c>
    </row>
    <row r="109" spans="1:8">
      <c r="A109" s="1">
        <v>42310</v>
      </c>
      <c r="B109">
        <v>115.725212</v>
      </c>
      <c r="C109">
        <v>742.59997599999997</v>
      </c>
      <c r="D109">
        <v>78.874077</v>
      </c>
      <c r="E109">
        <v>87.427284</v>
      </c>
      <c r="F109">
        <v>68.976089000000002</v>
      </c>
      <c r="G109">
        <v>2080.4099120000001</v>
      </c>
      <c r="H109">
        <v>1.6539999999999999</v>
      </c>
    </row>
    <row r="110" spans="1:8">
      <c r="A110" s="1">
        <v>42339</v>
      </c>
      <c r="B110">
        <v>102.969025</v>
      </c>
      <c r="C110">
        <v>758.88000499999998</v>
      </c>
      <c r="D110">
        <v>75.290642000000005</v>
      </c>
      <c r="E110">
        <v>86.125252000000003</v>
      </c>
      <c r="F110">
        <v>67.872237999999996</v>
      </c>
      <c r="G110">
        <v>2043.9399410000001</v>
      </c>
      <c r="H110">
        <v>1.758</v>
      </c>
    </row>
    <row r="111" spans="1:8">
      <c r="A111" s="1">
        <v>42373</v>
      </c>
      <c r="B111">
        <v>95.221396999999996</v>
      </c>
      <c r="C111">
        <v>742.95001200000002</v>
      </c>
      <c r="D111">
        <v>75.194053999999994</v>
      </c>
      <c r="E111">
        <v>82.784026999999995</v>
      </c>
      <c r="F111">
        <v>65.146216999999993</v>
      </c>
      <c r="G111">
        <v>1940.23999</v>
      </c>
      <c r="H111">
        <v>1.335</v>
      </c>
    </row>
    <row r="112" spans="1:8">
      <c r="A112" s="1">
        <v>42401</v>
      </c>
      <c r="B112">
        <v>95.098800999999995</v>
      </c>
      <c r="C112">
        <v>697.77002000000005</v>
      </c>
      <c r="D112">
        <v>78.118233000000004</v>
      </c>
      <c r="E112">
        <v>80.896407999999994</v>
      </c>
      <c r="F112">
        <v>58.234321999999999</v>
      </c>
      <c r="G112">
        <v>1932.2299800000001</v>
      </c>
      <c r="H112">
        <v>1.22</v>
      </c>
    </row>
    <row r="113" spans="1:8">
      <c r="A113" s="1">
        <v>42430</v>
      </c>
      <c r="B113">
        <v>107.196381</v>
      </c>
      <c r="C113">
        <v>744.95001200000002</v>
      </c>
      <c r="D113">
        <v>81.471024</v>
      </c>
      <c r="E113">
        <v>92.491814000000005</v>
      </c>
      <c r="F113">
        <v>62.169598000000001</v>
      </c>
      <c r="G113">
        <v>2059.73999</v>
      </c>
      <c r="H113">
        <v>1.224</v>
      </c>
    </row>
    <row r="114" spans="1:8">
      <c r="A114" s="1">
        <v>42461</v>
      </c>
      <c r="B114">
        <v>92.197342000000006</v>
      </c>
      <c r="C114">
        <v>693.01000999999997</v>
      </c>
      <c r="D114">
        <v>86.159103000000002</v>
      </c>
      <c r="E114">
        <v>99.065132000000006</v>
      </c>
      <c r="F114">
        <v>57.061492999999999</v>
      </c>
      <c r="G114">
        <v>2065.3000489999999</v>
      </c>
      <c r="H114">
        <v>1.2789999999999999</v>
      </c>
    </row>
    <row r="115" spans="1:8">
      <c r="A115" s="1">
        <v>42492</v>
      </c>
      <c r="B115">
        <v>98.814621000000002</v>
      </c>
      <c r="C115">
        <v>735.71997099999999</v>
      </c>
      <c r="D115">
        <v>87.492560999999995</v>
      </c>
      <c r="E115">
        <v>98.956230000000005</v>
      </c>
      <c r="F115">
        <v>53.592475999999998</v>
      </c>
      <c r="G115">
        <v>2096.9499510000001</v>
      </c>
      <c r="H115">
        <v>1.359</v>
      </c>
    </row>
    <row r="116" spans="1:8">
      <c r="A116" s="1">
        <v>42522</v>
      </c>
      <c r="B116">
        <v>94.599213000000006</v>
      </c>
      <c r="C116">
        <v>692.09997599999997</v>
      </c>
      <c r="D116">
        <v>92.131576999999993</v>
      </c>
      <c r="E116">
        <v>102.708733</v>
      </c>
      <c r="F116">
        <v>49.967388</v>
      </c>
      <c r="G116">
        <v>2098.860107</v>
      </c>
      <c r="H116">
        <v>1.0109999999999999</v>
      </c>
    </row>
    <row r="117" spans="1:8">
      <c r="A117" s="1">
        <v>42552</v>
      </c>
      <c r="B117">
        <v>103.11908</v>
      </c>
      <c r="C117">
        <v>768.78997800000002</v>
      </c>
      <c r="D117">
        <v>87.423766999999998</v>
      </c>
      <c r="E117">
        <v>100.40628100000001</v>
      </c>
      <c r="F117">
        <v>51.221469999999997</v>
      </c>
      <c r="G117">
        <v>2173.6000979999999</v>
      </c>
      <c r="H117">
        <v>1.0329999999999999</v>
      </c>
    </row>
    <row r="118" spans="1:8">
      <c r="A118" s="1">
        <v>42583</v>
      </c>
      <c r="B118">
        <v>105.558037</v>
      </c>
      <c r="C118">
        <v>767.04998799999998</v>
      </c>
      <c r="D118">
        <v>86.375168000000002</v>
      </c>
      <c r="E118">
        <v>99.583061000000001</v>
      </c>
      <c r="F118">
        <v>54.836468000000004</v>
      </c>
      <c r="G118">
        <v>2170.9499510000001</v>
      </c>
      <c r="H118">
        <v>1.18</v>
      </c>
    </row>
    <row r="119" spans="1:8">
      <c r="A119" s="1">
        <v>42614</v>
      </c>
      <c r="B119">
        <v>112.472542</v>
      </c>
      <c r="C119">
        <v>777.28997800000002</v>
      </c>
      <c r="D119">
        <v>86.513930999999999</v>
      </c>
      <c r="E119">
        <v>101.89986399999999</v>
      </c>
      <c r="F119">
        <v>52.508274</v>
      </c>
      <c r="G119">
        <v>2168.2700199999999</v>
      </c>
      <c r="H119">
        <v>1.1559999999999999</v>
      </c>
    </row>
    <row r="120" spans="1:8">
      <c r="A120" s="1">
        <v>42646</v>
      </c>
      <c r="B120">
        <v>112.960037</v>
      </c>
      <c r="C120">
        <v>784.53997800000002</v>
      </c>
      <c r="D120">
        <v>82.588691999999995</v>
      </c>
      <c r="E120">
        <v>103.711731</v>
      </c>
      <c r="F120">
        <v>58.690379999999998</v>
      </c>
      <c r="G120">
        <v>2126.1499020000001</v>
      </c>
      <c r="H120">
        <v>1.3129999999999999</v>
      </c>
    </row>
    <row r="121" spans="1:8">
      <c r="A121" s="1">
        <v>42675</v>
      </c>
      <c r="B121">
        <v>110.519997</v>
      </c>
      <c r="C121">
        <v>758.03997800000002</v>
      </c>
      <c r="D121">
        <v>87.300003000000004</v>
      </c>
      <c r="E121">
        <v>111.55999799999999</v>
      </c>
      <c r="F121">
        <v>61.560001</v>
      </c>
      <c r="G121">
        <v>2198.8100589999999</v>
      </c>
      <c r="H121">
        <v>1.8340000000000001</v>
      </c>
    </row>
    <row r="122" spans="1:8">
      <c r="A122" s="1">
        <v>42705</v>
      </c>
      <c r="B122">
        <v>115.82</v>
      </c>
      <c r="C122">
        <v>771.82000700000003</v>
      </c>
      <c r="D122">
        <v>90.260002</v>
      </c>
      <c r="E122">
        <v>117.699997</v>
      </c>
      <c r="F122">
        <v>68.319999999999993</v>
      </c>
      <c r="G122">
        <v>2238.830078</v>
      </c>
      <c r="H122">
        <v>1.9339999999999999</v>
      </c>
    </row>
    <row r="123" spans="1:8">
      <c r="A123" s="1">
        <v>42738</v>
      </c>
      <c r="B123">
        <v>121.949997</v>
      </c>
      <c r="C123">
        <v>823.30999799999995</v>
      </c>
      <c r="D123">
        <v>85.510002</v>
      </c>
      <c r="E123">
        <v>113.790001</v>
      </c>
      <c r="F123">
        <v>67.309997999999993</v>
      </c>
      <c r="G123">
        <v>2294.6899410000001</v>
      </c>
      <c r="H123">
        <v>1.9410000000000001</v>
      </c>
    </row>
  </sheetData>
  <mergeCells count="1">
    <mergeCell ref="B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Q170"/>
  <sheetViews>
    <sheetView tabSelected="1" workbookViewId="0">
      <pane ySplit="2" topLeftCell="A148" activePane="bottomLeft" state="frozen"/>
      <selection pane="bottomLeft" activeCell="B167" sqref="B167"/>
    </sheetView>
  </sheetViews>
  <sheetFormatPr defaultRowHeight="15"/>
  <cols>
    <col min="1" max="1" width="19.42578125" style="7" customWidth="1"/>
    <col min="2" max="4" width="9.28515625" style="7" bestFit="1" customWidth="1"/>
    <col min="5" max="5" width="12.7109375" style="7" bestFit="1" customWidth="1"/>
    <col min="6" max="8" width="9.140625" style="7"/>
    <col min="9" max="9" width="18.5703125" customWidth="1"/>
    <col min="10" max="10" width="19.42578125" style="24" customWidth="1"/>
    <col min="11" max="17" width="9.140625" style="24"/>
  </cols>
  <sheetData>
    <row r="1" spans="1:16" customFormat="1">
      <c r="A1" s="4"/>
      <c r="B1" s="5" t="s">
        <v>9</v>
      </c>
      <c r="C1" s="5"/>
      <c r="D1" s="5"/>
      <c r="E1" s="5"/>
      <c r="F1" s="5"/>
      <c r="G1" s="5"/>
      <c r="H1" s="5"/>
      <c r="J1" s="4"/>
      <c r="K1" s="2" t="s">
        <v>15</v>
      </c>
      <c r="L1" s="2"/>
      <c r="M1" s="2"/>
      <c r="N1" s="2"/>
      <c r="O1" s="2"/>
      <c r="P1" s="2"/>
    </row>
    <row r="2" spans="1:16" customFormat="1">
      <c r="A2" s="4" t="s">
        <v>0</v>
      </c>
      <c r="B2" s="4" t="s">
        <v>2</v>
      </c>
      <c r="C2" s="4" t="s">
        <v>1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J2" s="4" t="s">
        <v>0</v>
      </c>
      <c r="K2" s="21" t="s">
        <v>16</v>
      </c>
      <c r="L2" s="21" t="s">
        <v>17</v>
      </c>
      <c r="M2" s="21" t="s">
        <v>18</v>
      </c>
      <c r="N2" s="21" t="s">
        <v>19</v>
      </c>
      <c r="O2" s="21" t="s">
        <v>20</v>
      </c>
      <c r="P2" s="21" t="s">
        <v>21</v>
      </c>
    </row>
    <row r="3" spans="1:16" customFormat="1">
      <c r="A3" s="6">
        <v>39085</v>
      </c>
      <c r="B3" s="7"/>
      <c r="C3" s="7"/>
      <c r="D3" s="7"/>
      <c r="E3" s="7"/>
      <c r="F3" s="7"/>
      <c r="G3" s="7"/>
      <c r="H3" s="7"/>
      <c r="J3" s="6">
        <v>39085</v>
      </c>
    </row>
    <row r="4" spans="1:16" customFormat="1">
      <c r="A4" s="6">
        <v>39114</v>
      </c>
      <c r="B4" s="8">
        <f>(Original!B4-Original!B$125)/Original!B$126</f>
        <v>-0.40841905386964605</v>
      </c>
      <c r="C4" s="8">
        <f>(Original!C4-Original!C$125)/Original!C$126</f>
        <v>-1.3979572242521272</v>
      </c>
      <c r="D4" s="8">
        <f>(Original!D4-Original!D$125)/Original!D$126</f>
        <v>-0.70430227721531535</v>
      </c>
      <c r="E4" s="8">
        <f>(Original!E4-Original!E$125)/Original!E$126</f>
        <v>-1.0398482081141287</v>
      </c>
      <c r="F4" s="8">
        <f>(Original!F4-Original!F$125)/Original!F$126</f>
        <v>0.48124750612143202</v>
      </c>
      <c r="G4" s="8">
        <f>(Original!G4-Original!G$125)/Original!G$126</f>
        <v>-0.60538324682407674</v>
      </c>
      <c r="H4" s="8">
        <f>(Original!H4-Original!H$125)/Original!H$126</f>
        <v>-0.45803293925934713</v>
      </c>
      <c r="J4" s="6">
        <v>39114</v>
      </c>
      <c r="K4">
        <f t="array" ref="K4:K123">MMULT($C$4:$H$123,B154:B159)</f>
        <v>-1.5302292827959996</v>
      </c>
      <c r="L4">
        <f t="array" ref="L4:L123">MMULT($C$4:$H$123,C154:C159)</f>
        <v>-0.14679440719108389</v>
      </c>
      <c r="M4">
        <f t="array" ref="M4:M123">MMULT($C$4:$H$123,D154:D159)</f>
        <v>3.0007014492877682E-4</v>
      </c>
    </row>
    <row r="5" spans="1:16" customFormat="1">
      <c r="A5" s="6">
        <v>39142</v>
      </c>
      <c r="B5" s="8">
        <f>(Original!B5-Original!B$125)/Original!B$126</f>
        <v>0.80063264534264456</v>
      </c>
      <c r="C5" s="8">
        <f>(Original!C5-Original!C$125)/Original!C$126</f>
        <v>7.178780240633921E-2</v>
      </c>
      <c r="D5" s="8">
        <f>(Original!D5-Original!D$125)/Original!D$126</f>
        <v>1.0288173212532756</v>
      </c>
      <c r="E5" s="8">
        <f>(Original!E5-Original!E$125)/Original!E$126</f>
        <v>1.2012784479285039</v>
      </c>
      <c r="F5" s="8">
        <f>(Original!F5-Original!F$125)/Original!F$126</f>
        <v>1.020626094209097</v>
      </c>
      <c r="G5" s="8">
        <f>(Original!G5-Original!G$125)/Original!G$126</f>
        <v>0.11534122488356373</v>
      </c>
      <c r="H5" s="8">
        <f>(Original!H5-Original!H$125)/Original!H$126</f>
        <v>2.8738419576060773E-2</v>
      </c>
      <c r="J5" s="6">
        <v>39142</v>
      </c>
      <c r="K5">
        <v>1.5029625432363904</v>
      </c>
      <c r="L5">
        <v>0.65293164122714298</v>
      </c>
      <c r="M5">
        <v>0.22233928429328456</v>
      </c>
    </row>
    <row r="6" spans="1:16" customFormat="1">
      <c r="A6" s="6">
        <v>39174</v>
      </c>
      <c r="B6" s="8">
        <f>(Original!B6-Original!B$125)/Original!B$126</f>
        <v>0.54025671600283431</v>
      </c>
      <c r="C6" s="8">
        <f>(Original!C6-Original!C$125)/Original!C$126</f>
        <v>0.18485504276472237</v>
      </c>
      <c r="D6" s="8">
        <f>(Original!D6-Original!D$125)/Original!D$126</f>
        <v>1.017981542768549</v>
      </c>
      <c r="E6" s="8">
        <f>(Original!E6-Original!E$125)/Original!E$126</f>
        <v>0.73415542623208463</v>
      </c>
      <c r="F6" s="8">
        <f>(Original!F6-Original!F$125)/Original!F$126</f>
        <v>0.72728632664972337</v>
      </c>
      <c r="G6" s="8">
        <f>(Original!G6-Original!G$125)/Original!G$126</f>
        <v>0.86968428795488717</v>
      </c>
      <c r="H6" s="8">
        <f>(Original!H6-Original!H$125)/Original!H$126</f>
        <v>-5.2335215423196288E-2</v>
      </c>
      <c r="J6" s="6">
        <v>39174</v>
      </c>
      <c r="K6">
        <v>1.5531071838688095</v>
      </c>
      <c r="L6">
        <v>0.53537860630142642</v>
      </c>
      <c r="M6">
        <v>-9.416171665785654E-2</v>
      </c>
    </row>
    <row r="7" spans="1:16" customFormat="1">
      <c r="A7" s="6">
        <v>39203</v>
      </c>
      <c r="B7" s="8">
        <f>(Original!B7-Original!B$125)/Original!B$126</f>
        <v>2.0648334787991351</v>
      </c>
      <c r="C7" s="8">
        <f>(Original!C7-Original!C$125)/Original!C$126</f>
        <v>0.51213743130003919</v>
      </c>
      <c r="D7" s="8">
        <f>(Original!D7-Original!D$125)/Original!D$126</f>
        <v>1.0218460183518752</v>
      </c>
      <c r="E7" s="8">
        <f>(Original!E7-Original!E$125)/Original!E$126</f>
        <v>0.79100151264243046</v>
      </c>
      <c r="F7" s="8">
        <f>(Original!F7-Original!F$125)/Original!F$126</f>
        <v>0.4986721812737176</v>
      </c>
      <c r="G7" s="8">
        <f>(Original!G7-Original!G$125)/Original!G$126</f>
        <v>0.62643676113985036</v>
      </c>
      <c r="H7" s="8">
        <f>(Original!H7-Original!H$125)/Original!H$126</f>
        <v>0.47522799480333644</v>
      </c>
      <c r="J7" s="6">
        <v>39203</v>
      </c>
      <c r="K7">
        <v>1.6244414940715033</v>
      </c>
      <c r="L7">
        <v>0.19997993559557914</v>
      </c>
      <c r="M7">
        <v>0.25258491137312389</v>
      </c>
    </row>
    <row r="8" spans="1:16" customFormat="1">
      <c r="A8" s="6">
        <v>39234</v>
      </c>
      <c r="B8" s="8">
        <f>(Original!B8-Original!B$125)/Original!B$126</f>
        <v>-0.19003973927089862</v>
      </c>
      <c r="C8" s="8">
        <f>(Original!C8-Original!C$125)/Original!C$126</f>
        <v>0.43465172360508969</v>
      </c>
      <c r="D8" s="8">
        <f>(Original!D8-Original!D$125)/Original!D$126</f>
        <v>8.7679084035304444E-2</v>
      </c>
      <c r="E8" s="8">
        <f>(Original!E8-Original!E$125)/Original!E$126</f>
        <v>0.4289525254509044</v>
      </c>
      <c r="F8" s="8">
        <f>(Original!F8-Original!F$125)/Original!F$126</f>
        <v>-0.18829523336924101</v>
      </c>
      <c r="G8" s="8">
        <f>(Original!G8-Original!G$125)/Original!G$126</f>
        <v>-0.51412453476831776</v>
      </c>
      <c r="H8" s="8">
        <f>(Original!H8-Original!H$125)/Original!H$126</f>
        <v>9.2325860173413071E-2</v>
      </c>
      <c r="J8" s="6">
        <v>39234</v>
      </c>
      <c r="K8">
        <v>9.7964105442810645E-2</v>
      </c>
      <c r="L8">
        <v>8.4807762976086068E-2</v>
      </c>
      <c r="M8">
        <v>0.12073787917288818</v>
      </c>
    </row>
    <row r="9" spans="1:16" customFormat="1">
      <c r="A9" s="6">
        <v>39265</v>
      </c>
      <c r="B9" s="8">
        <f>(Original!B9-Original!B$125)/Original!B$126</f>
        <v>0.59994884226588396</v>
      </c>
      <c r="C9" s="8">
        <f>(Original!C9-Original!C$125)/Original!C$126</f>
        <v>-0.44939403784074122</v>
      </c>
      <c r="D9" s="8">
        <f>(Original!D9-Original!D$125)/Original!D$126</f>
        <v>0.22365749852756026</v>
      </c>
      <c r="E9" s="8">
        <f>(Original!E9-Original!E$125)/Original!E$126</f>
        <v>6.283926976061871E-2</v>
      </c>
      <c r="F9" s="8">
        <f>(Original!F9-Original!F$125)/Original!F$126</f>
        <v>-0.95034570339847291</v>
      </c>
      <c r="G9" s="8">
        <f>(Original!G9-Original!G$125)/Original!G$126</f>
        <v>-0.83491294563201446</v>
      </c>
      <c r="H9" s="8">
        <f>(Original!H9-Original!H$125)/Original!H$126</f>
        <v>-0.47196126464179261</v>
      </c>
      <c r="J9" s="6">
        <v>39265</v>
      </c>
      <c r="K9">
        <v>-0.93687771986065604</v>
      </c>
      <c r="L9">
        <v>0.88776503769019777</v>
      </c>
      <c r="M9">
        <v>0.35703187272405262</v>
      </c>
    </row>
    <row r="10" spans="1:16" customFormat="1">
      <c r="A10" s="6">
        <v>39295</v>
      </c>
      <c r="B10" s="8">
        <f>(Original!B10-Original!B$125)/Original!B$126</f>
        <v>0.28840030867353506</v>
      </c>
      <c r="C10" s="8">
        <f>(Original!C10-Original!C$125)/Original!C$126</f>
        <v>-3.6623515157017346E-2</v>
      </c>
      <c r="D10" s="8">
        <f>(Original!D10-Original!D$125)/Original!D$126</f>
        <v>0.14188098493731127</v>
      </c>
      <c r="E10" s="8">
        <f>(Original!E10-Original!E$125)/Original!E$126</f>
        <v>0.47747412918736737</v>
      </c>
      <c r="F10" s="8">
        <f>(Original!F10-Original!F$125)/Original!F$126</f>
        <v>0.1306639596983879</v>
      </c>
      <c r="G10" s="8">
        <f>(Original!G10-Original!G$125)/Original!G$126</f>
        <v>0.1806420015161718</v>
      </c>
      <c r="H10" s="8">
        <f>(Original!H10-Original!H$125)/Original!H$126</f>
        <v>-0.52924314217509794</v>
      </c>
      <c r="J10" s="6">
        <v>39295</v>
      </c>
      <c r="K10">
        <v>0.28086876076552825</v>
      </c>
      <c r="L10">
        <v>0.55968036741708915</v>
      </c>
      <c r="M10">
        <v>-0.3125152582462315</v>
      </c>
    </row>
    <row r="11" spans="1:16" customFormat="1">
      <c r="A11" s="6">
        <v>39329</v>
      </c>
      <c r="B11" s="8">
        <f>(Original!B11-Original!B$125)/Original!B$126</f>
        <v>0.91102561077021427</v>
      </c>
      <c r="C11" s="8">
        <f>(Original!C11-Original!C$125)/Original!C$126</f>
        <v>1.045287622344417</v>
      </c>
      <c r="D11" s="8">
        <f>(Original!D11-Original!D$125)/Original!D$126</f>
        <v>1.6071507101808602</v>
      </c>
      <c r="E11" s="8">
        <f>(Original!E11-Original!E$125)/Original!E$126</f>
        <v>0.98004179206325537</v>
      </c>
      <c r="F11" s="8">
        <f>(Original!F11-Original!F$125)/Original!F$126</f>
        <v>-0.2734764138408961</v>
      </c>
      <c r="G11" s="8">
        <f>(Original!G11-Original!G$125)/Original!G$126</f>
        <v>0.69991694742879695</v>
      </c>
      <c r="H11" s="8">
        <f>(Original!H11-Original!H$125)/Original!H$126</f>
        <v>-5.597409482596765E-2</v>
      </c>
      <c r="J11" s="6">
        <v>39329</v>
      </c>
      <c r="K11">
        <v>1.7649663905561315</v>
      </c>
      <c r="L11">
        <v>0.94367837040837554</v>
      </c>
      <c r="M11">
        <v>-5.5523365268008711E-2</v>
      </c>
    </row>
    <row r="12" spans="1:16" customFormat="1">
      <c r="A12" s="6">
        <v>39356</v>
      </c>
      <c r="B12" s="8">
        <f>(Original!B12-Original!B$125)/Original!B$126</f>
        <v>2.3190455219088699</v>
      </c>
      <c r="C12" s="8">
        <f>(Original!C12-Original!C$125)/Original!C$126</f>
        <v>2.7798395049171267</v>
      </c>
      <c r="D12" s="8">
        <f>(Original!D12-Original!D$125)/Original!D$126</f>
        <v>-0.2262221167320114</v>
      </c>
      <c r="E12" s="8">
        <f>(Original!E12-Original!E$125)/Original!E$126</f>
        <v>-0.51629772145439201</v>
      </c>
      <c r="F12" s="8">
        <f>(Original!F12-Original!F$125)/Original!F$126</f>
        <v>0.35226589618435311</v>
      </c>
      <c r="G12" s="8">
        <f>(Original!G12-Original!G$125)/Original!G$126</f>
        <v>0.22499957377923088</v>
      </c>
      <c r="H12" s="8">
        <f>(Original!H12-Original!H$125)/Original!H$126</f>
        <v>-0.11911634603548811</v>
      </c>
      <c r="J12" s="6">
        <v>39356</v>
      </c>
      <c r="K12">
        <v>0.90236189707277747</v>
      </c>
      <c r="L12">
        <v>-1.3081920765586379</v>
      </c>
      <c r="M12">
        <v>-1.7635366324340243</v>
      </c>
    </row>
    <row r="13" spans="1:16" customFormat="1">
      <c r="A13" s="6">
        <v>39387</v>
      </c>
      <c r="B13" s="8">
        <f>(Original!B13-Original!B$125)/Original!B$126</f>
        <v>-0.70894613108250359</v>
      </c>
      <c r="C13" s="8">
        <f>(Original!C13-Original!C$125)/Original!C$126</f>
        <v>-0.39575606913319555</v>
      </c>
      <c r="D13" s="8">
        <f>(Original!D13-Original!D$125)/Original!D$126</f>
        <v>-0.6713465730047139</v>
      </c>
      <c r="E13" s="8">
        <f>(Original!E13-Original!E$125)/Original!E$126</f>
        <v>-0.72440976889531306</v>
      </c>
      <c r="F13" s="8">
        <f>(Original!F13-Original!F$125)/Original!F$126</f>
        <v>-0.77810924562558303</v>
      </c>
      <c r="G13" s="8">
        <f>(Original!G13-Original!G$125)/Original!G$126</f>
        <v>-1.1080544917570092</v>
      </c>
      <c r="H13" s="8">
        <f>(Original!H13-Original!H$125)/Original!H$126</f>
        <v>-1.2180483144257697</v>
      </c>
      <c r="J13" s="6">
        <v>39387</v>
      </c>
      <c r="K13">
        <v>-1.926944647237409</v>
      </c>
      <c r="L13">
        <v>0.51589227153696471</v>
      </c>
      <c r="M13">
        <v>-0.57992152805522934</v>
      </c>
    </row>
    <row r="14" spans="1:16" customFormat="1">
      <c r="A14" s="6">
        <v>39419</v>
      </c>
      <c r="B14" s="8">
        <f>(Original!B14-Original!B$125)/Original!B$126</f>
        <v>0.68034469290620103</v>
      </c>
      <c r="C14" s="8">
        <f>(Original!C14-Original!C$125)/Original!C$126</f>
        <v>-0.18563535679076087</v>
      </c>
      <c r="D14" s="8">
        <f>(Original!D14-Original!D$125)/Original!D$126</f>
        <v>0.9906377494832278</v>
      </c>
      <c r="E14" s="8">
        <f>(Original!E14-Original!E$125)/Original!E$126</f>
        <v>0.92979265336218231</v>
      </c>
      <c r="F14" s="8">
        <f>(Original!F14-Original!F$125)/Original!F$126</f>
        <v>0.60473919842748003</v>
      </c>
      <c r="G14" s="8">
        <f>(Original!G14-Original!G$125)/Original!G$126</f>
        <v>-0.30606041348090374</v>
      </c>
      <c r="H14" s="8">
        <f>(Original!H14-Original!H$125)/Original!H$126</f>
        <v>5.053614885669467E-2</v>
      </c>
      <c r="J14" s="6">
        <v>39419</v>
      </c>
      <c r="K14">
        <v>0.90016720345171575</v>
      </c>
      <c r="L14">
        <v>0.7331964609369036</v>
      </c>
      <c r="M14">
        <v>0.49594698096396045</v>
      </c>
    </row>
    <row r="15" spans="1:16" customFormat="1">
      <c r="A15" s="6">
        <v>39449</v>
      </c>
      <c r="B15" s="8">
        <f>(Original!B15-Original!B$125)/Original!B$126</f>
        <v>-3.7102772375507533</v>
      </c>
      <c r="C15" s="8">
        <f>(Original!C15-Original!C$125)/Original!C$126</f>
        <v>-2.3542044947251881</v>
      </c>
      <c r="D15" s="8">
        <f>(Original!D15-Original!D$125)/Original!D$126</f>
        <v>-1.9163923400744247</v>
      </c>
      <c r="E15" s="8">
        <f>(Original!E15-Original!E$125)/Original!E$126</f>
        <v>-1.9694276186363204</v>
      </c>
      <c r="F15" s="8">
        <f>(Original!F15-Original!F$125)/Original!F$126</f>
        <v>-1.5402140027382565</v>
      </c>
      <c r="G15" s="8">
        <f>(Original!G15-Original!G$125)/Original!G$126</f>
        <v>-1.4957485765285938</v>
      </c>
      <c r="H15" s="8">
        <f>(Original!H15-Original!H$125)/Original!H$126</f>
        <v>-1.233421267948029</v>
      </c>
      <c r="J15" s="6">
        <v>39449</v>
      </c>
      <c r="K15">
        <v>-4.2679407079344704</v>
      </c>
      <c r="L15">
        <v>0.30092427345114581</v>
      </c>
      <c r="M15">
        <v>8.5001448583220673E-2</v>
      </c>
    </row>
    <row r="16" spans="1:16" customFormat="1">
      <c r="A16" s="6">
        <v>39479</v>
      </c>
      <c r="B16" s="8">
        <f>(Original!B16-Original!B$125)/Original!B$126</f>
        <v>-1.0971734186274806</v>
      </c>
      <c r="C16" s="8">
        <f>(Original!C16-Original!C$125)/Original!C$126</f>
        <v>-2.1286051543451321</v>
      </c>
      <c r="D16" s="8">
        <f>(Original!D16-Original!D$125)/Original!D$126</f>
        <v>0.32545819697127282</v>
      </c>
      <c r="E16" s="8">
        <f>(Original!E16-Original!E$125)/Original!E$126</f>
        <v>0.67785676296817021</v>
      </c>
      <c r="F16" s="8">
        <f>(Original!F16-Original!F$125)/Original!F$126</f>
        <v>-0.27745949390166358</v>
      </c>
      <c r="G16" s="8">
        <f>(Original!G16-Original!G$125)/Original!G$126</f>
        <v>-0.89785236434304505</v>
      </c>
      <c r="H16" s="8">
        <f>(Original!H16-Original!H$125)/Original!H$126</f>
        <v>-0.76823102605368943</v>
      </c>
      <c r="J16" s="6">
        <v>39479</v>
      </c>
      <c r="K16">
        <v>-1.062270051374866</v>
      </c>
      <c r="L16">
        <v>1.7434802207205988</v>
      </c>
      <c r="M16">
        <v>0.98051426918253271</v>
      </c>
    </row>
    <row r="17" spans="1:13" customFormat="1">
      <c r="A17" s="6">
        <v>39510</v>
      </c>
      <c r="B17" s="8">
        <f>(Original!B17-Original!B$125)/Original!B$126</f>
        <v>1.3414074132361644</v>
      </c>
      <c r="C17" s="8">
        <f>(Original!C17-Original!C$125)/Original!C$126</f>
        <v>-0.93720833921101387</v>
      </c>
      <c r="D17" s="8">
        <f>(Original!D17-Original!D$125)/Original!D$126</f>
        <v>-0.69124851303526713</v>
      </c>
      <c r="E17" s="8">
        <f>(Original!E17-Original!E$125)/Original!E$126</f>
        <v>-0.395845651153929</v>
      </c>
      <c r="F17" s="8">
        <f>(Original!F17-Original!F$125)/Original!F$126</f>
        <v>-1.4779786629199259</v>
      </c>
      <c r="G17" s="8">
        <f>(Original!G17-Original!G$125)/Original!G$126</f>
        <v>-0.24562173352011246</v>
      </c>
      <c r="H17" s="8">
        <f>(Original!H17-Original!H$125)/Original!H$126</f>
        <v>-0.13295616795865961</v>
      </c>
      <c r="J17" s="6">
        <v>39510</v>
      </c>
      <c r="K17">
        <v>-1.5657786761147088</v>
      </c>
      <c r="L17">
        <v>0.34378657936778528</v>
      </c>
      <c r="M17">
        <v>0.51271905834231846</v>
      </c>
    </row>
    <row r="18" spans="1:13" customFormat="1">
      <c r="A18" s="6">
        <v>39539</v>
      </c>
      <c r="B18" s="8">
        <f>(Original!B18-Original!B$125)/Original!B$126</f>
        <v>2.0416281325557173</v>
      </c>
      <c r="C18" s="8">
        <f>(Original!C18-Original!C$125)/Original!C$126</f>
        <v>3.4658818166172951</v>
      </c>
      <c r="D18" s="8">
        <f>(Original!D18-Original!D$125)/Original!D$126</f>
        <v>2.0495355119046343</v>
      </c>
      <c r="E18" s="8">
        <f>(Original!E18-Original!E$125)/Original!E$126</f>
        <v>1.9967256774640594</v>
      </c>
      <c r="F18" s="8">
        <f>(Original!F18-Original!F$125)/Original!F$126</f>
        <v>-0.14315095895596366</v>
      </c>
      <c r="G18" s="8">
        <f>(Original!G18-Original!G$125)/Original!G$126</f>
        <v>0.96606439550584777</v>
      </c>
      <c r="H18" s="8">
        <f>(Original!H18-Original!H$125)/Original!H$126</f>
        <v>1.5057280738673557</v>
      </c>
      <c r="J18" s="6">
        <v>39539</v>
      </c>
      <c r="K18">
        <v>3.8959211076187423</v>
      </c>
      <c r="L18">
        <v>-0.2501358941476578</v>
      </c>
      <c r="M18">
        <v>0.11329819078840853</v>
      </c>
    </row>
    <row r="19" spans="1:13" customFormat="1">
      <c r="A19" s="6">
        <v>39569</v>
      </c>
      <c r="B19" s="8">
        <f>(Original!B19-Original!B$125)/Original!B$126</f>
        <v>0.6590733709258092</v>
      </c>
      <c r="C19" s="8">
        <f>(Original!C19-Original!C$125)/Original!C$126</f>
        <v>7.969804738522715E-2</v>
      </c>
      <c r="D19" s="8">
        <f>(Original!D19-Original!D$125)/Original!D$126</f>
        <v>-0.99288054893108924</v>
      </c>
      <c r="E19" s="8">
        <f>(Original!E19-Original!E$125)/Original!E$126</f>
        <v>0.50271905316363508</v>
      </c>
      <c r="F19" s="8">
        <f>(Original!F19-Original!F$125)/Original!F$126</f>
        <v>0.31075576047818537</v>
      </c>
      <c r="G19" s="8">
        <f>(Original!G19-Original!G$125)/Original!G$126</f>
        <v>0.1310618161177721</v>
      </c>
      <c r="H19" s="8">
        <f>(Original!H19-Original!H$125)/Original!H$126</f>
        <v>0.79932395580006443</v>
      </c>
      <c r="J19" s="6">
        <v>39569</v>
      </c>
      <c r="K19">
        <v>0.21832945750552063</v>
      </c>
      <c r="L19">
        <v>-0.90477436829940538</v>
      </c>
      <c r="M19">
        <v>0.29415736559925643</v>
      </c>
    </row>
    <row r="20" spans="1:13" customFormat="1">
      <c r="A20" s="6">
        <v>39601</v>
      </c>
      <c r="B20" s="8">
        <f>(Original!B20-Original!B$125)/Original!B$126</f>
        <v>-1.4942968503488872</v>
      </c>
      <c r="C20" s="8">
        <f>(Original!C20-Original!C$125)/Original!C$126</f>
        <v>-1.3690441169742844</v>
      </c>
      <c r="D20" s="8">
        <f>(Original!D20-Original!D$125)/Original!D$126</f>
        <v>-0.24629368035065172</v>
      </c>
      <c r="E20" s="8">
        <f>(Original!E20-Original!E$125)/Original!E$126</f>
        <v>-0.14544291398141662</v>
      </c>
      <c r="F20" s="8">
        <f>(Original!F20-Original!F$125)/Original!F$126</f>
        <v>-1.8481483317371996</v>
      </c>
      <c r="G20" s="8">
        <f>(Original!G20-Original!G$125)/Original!G$126</f>
        <v>-2.0573373097168401</v>
      </c>
      <c r="H20" s="8">
        <f>(Original!H20-Original!H$125)/Original!H$126</f>
        <v>-0.15047773980044035</v>
      </c>
      <c r="J20" s="6">
        <v>39601</v>
      </c>
      <c r="K20">
        <v>-2.4477865886849739</v>
      </c>
      <c r="L20">
        <v>0.98586072050042983</v>
      </c>
      <c r="M20">
        <v>1.3789425780205702</v>
      </c>
    </row>
    <row r="21" spans="1:13" customFormat="1">
      <c r="A21" s="6">
        <v>39630</v>
      </c>
      <c r="B21" s="8">
        <f>(Original!B21-Original!B$125)/Original!B$126</f>
        <v>-0.81781835575889072</v>
      </c>
      <c r="C21" s="8">
        <f>(Original!C21-Original!C$125)/Original!C$126</f>
        <v>-1.353382800521139</v>
      </c>
      <c r="D21" s="8">
        <f>(Original!D21-Original!D$125)/Original!D$126</f>
        <v>-1.961031106813182</v>
      </c>
      <c r="E21" s="8">
        <f>(Original!E21-Original!E$125)/Original!E$126</f>
        <v>-2.6288734520448593</v>
      </c>
      <c r="F21" s="8">
        <f>(Original!F21-Original!F$125)/Original!F$126</f>
        <v>-1.8359253710717154</v>
      </c>
      <c r="G21" s="8">
        <f>(Original!G21-Original!G$125)/Original!G$126</f>
        <v>-0.33393410096301823</v>
      </c>
      <c r="H21" s="8">
        <f>(Original!H21-Original!H$125)/Original!H$126</f>
        <v>-0.17095719840747334</v>
      </c>
      <c r="J21" s="6">
        <v>39630</v>
      </c>
      <c r="K21">
        <v>-3.5141029139539373</v>
      </c>
      <c r="L21">
        <v>-0.92752751480630691</v>
      </c>
      <c r="M21">
        <v>2.9353612948844809E-2</v>
      </c>
    </row>
    <row r="22" spans="1:13" customFormat="1">
      <c r="A22" s="6">
        <v>39661</v>
      </c>
      <c r="B22" s="8">
        <f>(Original!B22-Original!B$125)/Original!B$126</f>
        <v>0.45763815148561815</v>
      </c>
      <c r="C22" s="8">
        <f>(Original!C22-Original!C$125)/Original!C$126</f>
        <v>-0.42292915401284986</v>
      </c>
      <c r="D22" s="8">
        <f>(Original!D22-Original!D$125)/Original!D$126</f>
        <v>-9.7694683656221915E-2</v>
      </c>
      <c r="E22" s="8">
        <f>(Original!E22-Original!E$125)/Original!E$126</f>
        <v>0.34078318480670278</v>
      </c>
      <c r="F22" s="8">
        <f>(Original!F22-Original!F$125)/Original!F$126</f>
        <v>0.32261082916004014</v>
      </c>
      <c r="G22" s="8">
        <f>(Original!G22-Original!G$125)/Original!G$126</f>
        <v>0.16539904720786411</v>
      </c>
      <c r="H22" s="8">
        <f>(Original!H22-Original!H$125)/Original!H$126</f>
        <v>-0.38228534483437593</v>
      </c>
      <c r="J22" s="6">
        <v>39661</v>
      </c>
      <c r="K22">
        <v>7.4498609464748622E-2</v>
      </c>
      <c r="L22">
        <v>0.36833326679555356</v>
      </c>
      <c r="M22">
        <v>-0.14111453334696888</v>
      </c>
    </row>
    <row r="23" spans="1:13" customFormat="1">
      <c r="A23" s="6">
        <v>39693</v>
      </c>
      <c r="B23" s="8">
        <f>(Original!B23-Original!B$125)/Original!B$126</f>
        <v>-3.8507858720991268</v>
      </c>
      <c r="C23" s="8">
        <f>(Original!C23-Original!C$125)/Original!C$126</f>
        <v>-1.7762146603804412</v>
      </c>
      <c r="D23" s="8">
        <f>(Original!D23-Original!D$125)/Original!D$126</f>
        <v>-0.72208414063982362</v>
      </c>
      <c r="E23" s="8">
        <f>(Original!E23-Original!E$125)/Original!E$126</f>
        <v>-0.89471444357818586</v>
      </c>
      <c r="F23" s="8">
        <f>(Original!F23-Original!F$125)/Original!F$126</f>
        <v>-1.2786312894533927</v>
      </c>
      <c r="G23" s="8">
        <f>(Original!G23-Original!G$125)/Original!G$126</f>
        <v>-2.1666943234810128</v>
      </c>
      <c r="H23" s="8">
        <f>(Original!H23-Original!H$125)/Original!H$126</f>
        <v>-0.24348770185528795</v>
      </c>
      <c r="J23" s="6">
        <v>39693</v>
      </c>
      <c r="K23">
        <v>-3.0095559556748794</v>
      </c>
      <c r="L23">
        <v>0.47033472868628351</v>
      </c>
      <c r="M23">
        <v>1.1366487010299982</v>
      </c>
    </row>
    <row r="24" spans="1:13" customFormat="1">
      <c r="A24" s="6">
        <v>39722</v>
      </c>
      <c r="B24" s="8">
        <f>(Original!B24-Original!B$125)/Original!B$126</f>
        <v>-0.84718633007180832</v>
      </c>
      <c r="C24" s="8">
        <f>(Original!C24-Original!C$125)/Original!C$126</f>
        <v>-1.3857588466671167</v>
      </c>
      <c r="D24" s="8">
        <f>(Original!D24-Original!D$125)/Original!D$126</f>
        <v>-1.0683941254582736</v>
      </c>
      <c r="E24" s="8">
        <f>(Original!E24-Original!E$125)/Original!E$126</f>
        <v>-1.7585146630660971</v>
      </c>
      <c r="F24" s="8">
        <f>(Original!F24-Original!F$125)/Original!F$126</f>
        <v>-3.0553509682654187</v>
      </c>
      <c r="G24" s="8">
        <f>(Original!G24-Original!G$125)/Original!G$126</f>
        <v>-3.9473927849130792</v>
      </c>
      <c r="H24" s="8">
        <f>(Original!H24-Original!H$125)/Original!H$126</f>
        <v>-0.38936239615826923</v>
      </c>
      <c r="J24" s="6">
        <v>39722</v>
      </c>
      <c r="K24">
        <v>-5.0256857312012269</v>
      </c>
      <c r="L24">
        <v>0.48222881202733348</v>
      </c>
      <c r="M24">
        <v>1.3959102885564285</v>
      </c>
    </row>
    <row r="25" spans="1:13" customFormat="1">
      <c r="A25" s="6">
        <v>39755</v>
      </c>
      <c r="B25" s="8">
        <f>(Original!B25-Original!B$125)/Original!B$126</f>
        <v>-1.7746288384694191</v>
      </c>
      <c r="C25" s="8">
        <f>(Original!C25-Original!C$125)/Original!C$126</f>
        <v>-2.364330432130525</v>
      </c>
      <c r="D25" s="8">
        <f>(Original!D25-Original!D$125)/Original!D$126</f>
        <v>1.7759927855323634</v>
      </c>
      <c r="E25" s="8">
        <f>(Original!E25-Original!E$125)/Original!E$126</f>
        <v>1.0133670496052622</v>
      </c>
      <c r="F25" s="8">
        <f>(Original!F25-Original!F$125)/Original!F$126</f>
        <v>-1.0277818707698398</v>
      </c>
      <c r="G25" s="8">
        <f>(Original!G25-Original!G$125)/Original!G$126</f>
        <v>-1.8056683039920103</v>
      </c>
      <c r="H25" s="8">
        <f>(Original!H25-Original!H$125)/Original!H$126</f>
        <v>-2.0909970391711581</v>
      </c>
      <c r="J25" s="6">
        <v>39755</v>
      </c>
      <c r="K25">
        <v>-1.4267752418132602</v>
      </c>
      <c r="L25">
        <v>3.7468216498771216</v>
      </c>
      <c r="M25">
        <v>0.94112449855613756</v>
      </c>
    </row>
    <row r="26" spans="1:13" customFormat="1">
      <c r="A26" s="6">
        <v>39783</v>
      </c>
      <c r="B26" s="8">
        <f>(Original!B26-Original!B$125)/Original!B$126</f>
        <v>-1.1254650509144077</v>
      </c>
      <c r="C26" s="8">
        <f>(Original!C26-Original!C$125)/Original!C$126</f>
        <v>0.43889149132453364</v>
      </c>
      <c r="D26" s="8">
        <f>(Original!D26-Original!D$125)/Original!D$126</f>
        <v>-0.17995929966724272</v>
      </c>
      <c r="E26" s="8">
        <f>(Original!E26-Original!E$125)/Original!E$126</f>
        <v>-1.2213306102500909</v>
      </c>
      <c r="F26" s="8">
        <f>(Original!F26-Original!F$125)/Original!F$126</f>
        <v>1.5606659329784325</v>
      </c>
      <c r="G26" s="8">
        <f>(Original!G26-Original!G$125)/Original!G$126</f>
        <v>6.6462689860737695E-2</v>
      </c>
      <c r="H26" s="8">
        <f>(Original!H26-Original!H$125)/Original!H$126</f>
        <v>-1.3672588991353321</v>
      </c>
      <c r="J26" s="6">
        <v>39783</v>
      </c>
      <c r="K26">
        <v>-0.18387775627475422</v>
      </c>
      <c r="L26">
        <v>-0.36734949958441154</v>
      </c>
      <c r="M26">
        <v>-1.8897973525913598</v>
      </c>
    </row>
    <row r="27" spans="1:13" customFormat="1">
      <c r="A27" s="6">
        <v>39815</v>
      </c>
      <c r="B27" s="8">
        <f>(Original!B27-Original!B$125)/Original!B$126</f>
        <v>0.34281429665383428</v>
      </c>
      <c r="C27" s="8">
        <f>(Original!C27-Original!C$125)/Original!C$126</f>
        <v>1.038282961273808</v>
      </c>
      <c r="D27" s="8">
        <f>(Original!D27-Original!D$125)/Original!D$126</f>
        <v>-0.99108325473826897</v>
      </c>
      <c r="E27" s="8">
        <f>(Original!E27-Original!E$125)/Original!E$126</f>
        <v>-0.9311769195505144</v>
      </c>
      <c r="F27" s="8">
        <f>(Original!F27-Original!F$125)/Original!F$126</f>
        <v>0.96355391410955527</v>
      </c>
      <c r="G27" s="8">
        <f>(Original!G27-Original!G$125)/Original!G$126</f>
        <v>-2.0504294319426646</v>
      </c>
      <c r="H27" s="8">
        <f>(Original!H27-Original!H$125)/Original!H$126</f>
        <v>1.3604743558928163</v>
      </c>
      <c r="J27" s="6">
        <v>39815</v>
      </c>
      <c r="K27">
        <v>-0.77043322938787462</v>
      </c>
      <c r="L27">
        <v>-2.2975898092593026</v>
      </c>
      <c r="M27">
        <v>0.29626191090197729</v>
      </c>
    </row>
    <row r="28" spans="1:13" customFormat="1">
      <c r="A28" s="6">
        <v>39846</v>
      </c>
      <c r="B28" s="8">
        <f>(Original!B28-Original!B$125)/Original!B$126</f>
        <v>-0.36528064132598154</v>
      </c>
      <c r="C28" s="8">
        <f>(Original!C28-Original!C$125)/Original!C$126</f>
        <v>-0.17849544587807314</v>
      </c>
      <c r="D28" s="8">
        <f>(Original!D28-Original!D$125)/Original!D$126</f>
        <v>-2.3955537013231289</v>
      </c>
      <c r="E28" s="8">
        <f>(Original!E28-Original!E$125)/Original!E$126</f>
        <v>-2.3616378168841403</v>
      </c>
      <c r="F28" s="8">
        <f>(Original!F28-Original!F$125)/Original!F$126</f>
        <v>-1.8610746407193868</v>
      </c>
      <c r="G28" s="8">
        <f>(Original!G28-Original!G$125)/Original!G$126</f>
        <v>-2.6001269654180059</v>
      </c>
      <c r="H28" s="8">
        <f>(Original!H28-Original!H$125)/Original!H$126</f>
        <v>0.50092414823317966</v>
      </c>
      <c r="J28" s="6">
        <v>39846</v>
      </c>
      <c r="K28">
        <v>-4.093529719192543</v>
      </c>
      <c r="L28">
        <v>-1.7786907658911459</v>
      </c>
      <c r="M28">
        <v>0.40819294765892555</v>
      </c>
    </row>
    <row r="29" spans="1:13" customFormat="1">
      <c r="A29" s="6">
        <v>39874</v>
      </c>
      <c r="B29" s="8">
        <f>(Original!B29-Original!B$125)/Original!B$126</f>
        <v>1.6590860595818508</v>
      </c>
      <c r="C29" s="8">
        <f>(Original!C29-Original!C$125)/Original!C$126</f>
        <v>0.19606193573527322</v>
      </c>
      <c r="D29" s="8">
        <f>(Original!D29-Original!D$125)/Original!D$126</f>
        <v>-3.1756237040003965E-2</v>
      </c>
      <c r="E29" s="8">
        <f>(Original!E29-Original!E$125)/Original!E$126</f>
        <v>1.6778661604667067</v>
      </c>
      <c r="F29" s="8">
        <f>(Original!F29-Original!F$125)/Original!F$126</f>
        <v>-0.79919361128732147</v>
      </c>
      <c r="G29" s="8">
        <f>(Original!G29-Original!G$125)/Original!G$126</f>
        <v>1.8233785567629233</v>
      </c>
      <c r="H29" s="8">
        <f>(Original!H29-Original!H$125)/Original!H$126</f>
        <v>-1.1584466793565518</v>
      </c>
      <c r="J29" s="6">
        <v>39874</v>
      </c>
      <c r="K29">
        <v>1.1355951511293685</v>
      </c>
      <c r="L29">
        <v>1.5055180817230989</v>
      </c>
      <c r="M29">
        <v>-0.85944339809424442</v>
      </c>
    </row>
    <row r="30" spans="1:13" customFormat="1">
      <c r="A30" s="6">
        <v>39904</v>
      </c>
      <c r="B30" s="8">
        <f>(Original!B30-Original!B$125)/Original!B$126</f>
        <v>1.8764966167447212</v>
      </c>
      <c r="C30" s="8">
        <f>(Original!C30-Original!C$125)/Original!C$126</f>
        <v>1.483079370023161</v>
      </c>
      <c r="D30" s="8">
        <f>(Original!D30-Original!D$125)/Original!D$126</f>
        <v>-0.54323077969283706</v>
      </c>
      <c r="E30" s="8">
        <f>(Original!E30-Original!E$125)/Original!E$126</f>
        <v>-0.42889070957298475</v>
      </c>
      <c r="F30" s="8">
        <f>(Original!F30-Original!F$125)/Original!F$126</f>
        <v>0.90611748472303311</v>
      </c>
      <c r="G30" s="8">
        <f>(Original!G30-Original!G$125)/Original!G$126</f>
        <v>2.0163336065019211</v>
      </c>
      <c r="H30" s="8">
        <f>(Original!H30-Original!H$125)/Original!H$126</f>
        <v>1.3376490324882138</v>
      </c>
      <c r="J30" s="6">
        <v>39904</v>
      </c>
      <c r="K30">
        <v>1.7807981675878159</v>
      </c>
      <c r="L30">
        <v>-2.0994872987451272</v>
      </c>
      <c r="M30">
        <v>-0.64842026047064794</v>
      </c>
    </row>
    <row r="31" spans="1:13" customFormat="1">
      <c r="A31" s="6">
        <v>39934</v>
      </c>
      <c r="B31" s="8">
        <f>(Original!B31-Original!B$125)/Original!B$126</f>
        <v>0.59633102096221102</v>
      </c>
      <c r="C31" s="8">
        <f>(Original!C31-Original!C$125)/Original!C$126</f>
        <v>0.48122407664054806</v>
      </c>
      <c r="D31" s="8">
        <f>(Original!D31-Original!D$125)/Original!D$126</f>
        <v>0.89660780612539026</v>
      </c>
      <c r="E31" s="8">
        <f>(Original!E31-Original!E$125)/Original!E$126</f>
        <v>0.1689449638376759</v>
      </c>
      <c r="F31" s="8">
        <f>(Original!F31-Original!F$125)/Original!F$126</f>
        <v>1.1585395586783749</v>
      </c>
      <c r="G31" s="8">
        <f>(Original!G31-Original!G$125)/Original!G$126</f>
        <v>1.0914024415982417</v>
      </c>
      <c r="H31" s="8">
        <f>(Original!H31-Original!H$125)/Original!H$126</f>
        <v>1.0675854448301976</v>
      </c>
      <c r="J31" s="6">
        <v>39934</v>
      </c>
      <c r="K31">
        <v>1.8993592630417853</v>
      </c>
      <c r="L31">
        <v>-0.68078765899442206</v>
      </c>
      <c r="M31">
        <v>0.28946614919852098</v>
      </c>
    </row>
    <row r="32" spans="1:13" customFormat="1">
      <c r="A32" s="6">
        <v>39965</v>
      </c>
      <c r="B32" s="8">
        <f>(Original!B32-Original!B$125)/Original!B$126</f>
        <v>0.26384920971983877</v>
      </c>
      <c r="C32" s="8">
        <f>(Original!C32-Original!C$125)/Original!C$126</f>
        <v>-3.4765340081857755E-2</v>
      </c>
      <c r="D32" s="8">
        <f>(Original!D32-Original!D$125)/Original!D$126</f>
        <v>7.7818379770970086E-2</v>
      </c>
      <c r="E32" s="8">
        <f>(Original!E32-Original!E$125)/Original!E$126</f>
        <v>-0.24861939547430473</v>
      </c>
      <c r="F32" s="8">
        <f>(Original!F32-Original!F$125)/Original!F$126</f>
        <v>-2.3554844331973679</v>
      </c>
      <c r="G32" s="8">
        <f>(Original!G32-Original!G$125)/Original!G$126</f>
        <v>-0.10622748354275964</v>
      </c>
      <c r="H32" s="8">
        <f>(Original!H32-Original!H$125)/Original!H$126</f>
        <v>0.57693301889004056</v>
      </c>
      <c r="J32" s="6">
        <v>39965</v>
      </c>
      <c r="K32">
        <v>-0.93030143627370276</v>
      </c>
      <c r="L32">
        <v>0.30317679425566685</v>
      </c>
      <c r="M32">
        <v>0.98259257972606662</v>
      </c>
    </row>
    <row r="33" spans="1:13" customFormat="1">
      <c r="A33" s="6">
        <v>39995</v>
      </c>
      <c r="B33" s="8">
        <f>(Original!B33-Original!B$125)/Original!B$126</f>
        <v>1.3342682662401271</v>
      </c>
      <c r="C33" s="8">
        <f>(Original!C33-Original!C$125)/Original!C$126</f>
        <v>0.44795041741022629</v>
      </c>
      <c r="D33" s="8">
        <f>(Original!D33-Original!D$125)/Original!D$126</f>
        <v>5.1990457445866479E-2</v>
      </c>
      <c r="E33" s="8">
        <f>(Original!E33-Original!E$125)/Original!E$126</f>
        <v>0.68033517307603064</v>
      </c>
      <c r="F33" s="8">
        <f>(Original!F33-Original!F$125)/Original!F$126</f>
        <v>0.51233606722507397</v>
      </c>
      <c r="G33" s="8">
        <f>(Original!G33-Original!G$125)/Original!G$126</f>
        <v>1.5683264637191188</v>
      </c>
      <c r="H33" s="8">
        <f>(Original!H33-Original!H$125)/Original!H$126</f>
        <v>-8.6581958171658022E-2</v>
      </c>
      <c r="J33" s="6">
        <v>39995</v>
      </c>
      <c r="K33">
        <v>1.4527770246459171</v>
      </c>
      <c r="L33">
        <v>8.6984600920432184E-3</v>
      </c>
      <c r="M33">
        <v>-0.61709272434733897</v>
      </c>
    </row>
    <row r="34" spans="1:13" customFormat="1">
      <c r="A34" s="6">
        <v>40028</v>
      </c>
      <c r="B34" s="8">
        <f>(Original!B34-Original!B$125)/Original!B$126</f>
        <v>5.4533508991924523E-2</v>
      </c>
      <c r="C34" s="8">
        <f>(Original!C34-Original!C$125)/Original!C$126</f>
        <v>0.34203852139762936</v>
      </c>
      <c r="D34" s="8">
        <f>(Original!D34-Original!D$125)/Original!D$126</f>
        <v>-0.34279713428598163</v>
      </c>
      <c r="E34" s="8">
        <f>(Original!E34-Original!E$125)/Original!E$126</f>
        <v>0.14290978391399239</v>
      </c>
      <c r="F34" s="8">
        <f>(Original!F34-Original!F$125)/Original!F$126</f>
        <v>0.36366387002438333</v>
      </c>
      <c r="G34" s="8">
        <f>(Original!G34-Original!G$125)/Original!G$126</f>
        <v>0.64933063268430669</v>
      </c>
      <c r="H34" s="8">
        <f>(Original!H34-Original!H$125)/Original!H$126</f>
        <v>-0.39733005752074552</v>
      </c>
      <c r="J34" s="6">
        <v>40028</v>
      </c>
      <c r="K34">
        <v>0.40547660666823648</v>
      </c>
      <c r="L34">
        <v>-0.11125413909027834</v>
      </c>
      <c r="M34">
        <v>-0.75482027160450271</v>
      </c>
    </row>
    <row r="35" spans="1:13" customFormat="1">
      <c r="A35" s="6">
        <v>40057</v>
      </c>
      <c r="B35" s="8">
        <f>(Original!B35-Original!B$125)/Original!B$126</f>
        <v>0.84195609863221998</v>
      </c>
      <c r="C35" s="8">
        <f>(Original!C35-Original!C$125)/Original!C$126</f>
        <v>0.72399333349507211</v>
      </c>
      <c r="D35" s="8">
        <f>(Original!D35-Original!D$125)/Original!D$126</f>
        <v>-0.26148855417294747</v>
      </c>
      <c r="E35" s="8">
        <f>(Original!E35-Original!E$125)/Original!E$126</f>
        <v>-2.3490411783217483E-2</v>
      </c>
      <c r="F35" s="8">
        <f>(Original!F35-Original!F$125)/Original!F$126</f>
        <v>0.22587771839501181</v>
      </c>
      <c r="G35" s="8">
        <f>(Original!G35-Original!G$125)/Original!G$126</f>
        <v>0.69831674702074342</v>
      </c>
      <c r="H35" s="8">
        <f>(Original!H35-Original!H$125)/Original!H$126</f>
        <v>-0.22206222370810813</v>
      </c>
      <c r="J35" s="6">
        <v>40057</v>
      </c>
      <c r="K35">
        <v>0.51663491803528705</v>
      </c>
      <c r="L35">
        <v>-0.33648063157678937</v>
      </c>
      <c r="M35">
        <v>-0.80738274795702203</v>
      </c>
    </row>
    <row r="36" spans="1:13" customFormat="1">
      <c r="A36" s="6">
        <v>40087</v>
      </c>
      <c r="B36" s="8">
        <f>(Original!B36-Original!B$125)/Original!B$126</f>
        <v>-8.1478779569142137E-2</v>
      </c>
      <c r="C36" s="8">
        <f>(Original!C36-Original!C$125)/Original!C$126</f>
        <v>0.80965337169473306</v>
      </c>
      <c r="D36" s="8">
        <f>(Original!D36-Original!D$125)/Original!D$126</f>
        <v>0.85803583238329129</v>
      </c>
      <c r="E36" s="8">
        <f>(Original!E36-Original!E$125)/Original!E$126</f>
        <v>1.3258055182537236</v>
      </c>
      <c r="F36" s="8">
        <f>(Original!F36-Original!F$125)/Original!F$126</f>
        <v>-0.70837893564320054</v>
      </c>
      <c r="G36" s="8">
        <f>(Original!G36-Original!G$125)/Original!G$126</f>
        <v>-0.55818571809072337</v>
      </c>
      <c r="H36" s="8">
        <f>(Original!H36-Original!H$125)/Original!H$126</f>
        <v>-1.0036556732644331E-2</v>
      </c>
      <c r="J36" s="6">
        <v>40087</v>
      </c>
      <c r="K36">
        <v>0.74141786106466268</v>
      </c>
      <c r="L36">
        <v>0.92794256169969014</v>
      </c>
      <c r="M36">
        <v>0.36307410280799646</v>
      </c>
    </row>
    <row r="37" spans="1:13" customFormat="1">
      <c r="A37" s="6">
        <v>40119</v>
      </c>
      <c r="B37" s="8">
        <f>(Original!B37-Original!B$125)/Original!B$126</f>
        <v>0.39203751012336296</v>
      </c>
      <c r="C37" s="8">
        <f>(Original!C37-Original!C$125)/Original!C$126</f>
        <v>0.88398391838563439</v>
      </c>
      <c r="D37" s="8">
        <f>(Original!D37-Original!D$125)/Original!D$126</f>
        <v>1.0489266832680846</v>
      </c>
      <c r="E37" s="8">
        <f>(Original!E37-Original!E$125)/Original!E$126</f>
        <v>0.34139219826092682</v>
      </c>
      <c r="F37" s="8">
        <f>(Original!F37-Original!F$125)/Original!F$126</f>
        <v>-1.1521397360315737</v>
      </c>
      <c r="G37" s="8">
        <f>(Original!G37-Original!G$125)/Original!G$126</f>
        <v>1.1883851143547499</v>
      </c>
      <c r="H37" s="8">
        <f>(Original!H37-Original!H$125)/Original!H$126</f>
        <v>-0.92744022246380031</v>
      </c>
      <c r="J37" s="6">
        <v>40119</v>
      </c>
      <c r="K37">
        <v>0.83952771755726996</v>
      </c>
      <c r="L37">
        <v>1.2449774516243914</v>
      </c>
      <c r="M37">
        <v>-0.79420468800595723</v>
      </c>
    </row>
    <row r="38" spans="1:13" customFormat="1">
      <c r="A38" s="6">
        <v>40148</v>
      </c>
      <c r="B38" s="8">
        <f>(Original!B38-Original!B$125)/Original!B$126</f>
        <v>0.32236179282495053</v>
      </c>
      <c r="C38" s="8">
        <f>(Original!C38-Original!C$125)/Original!C$126</f>
        <v>0.59744505994847774</v>
      </c>
      <c r="D38" s="8">
        <f>(Original!D38-Original!D$125)/Original!D$126</f>
        <v>-2.0523906740136391</v>
      </c>
      <c r="E38" s="8">
        <f>(Original!E38-Original!E$125)/Original!E$126</f>
        <v>-0.36967913060887503</v>
      </c>
      <c r="F38" s="8">
        <f>(Original!F38-Original!F$125)/Original!F$126</f>
        <v>0.40529321918498074</v>
      </c>
      <c r="G38" s="8">
        <f>(Original!G38-Original!G$125)/Original!G$126</f>
        <v>0.29176426239241726</v>
      </c>
      <c r="H38" s="8">
        <f>(Original!H38-Original!H$125)/Original!H$126</f>
        <v>2.2350074619181255</v>
      </c>
      <c r="J38" s="6">
        <v>40148</v>
      </c>
      <c r="K38">
        <v>1.0112952437931977E-2</v>
      </c>
      <c r="L38">
        <v>-2.8811584231386034</v>
      </c>
      <c r="M38">
        <v>0.59276460993236313</v>
      </c>
    </row>
    <row r="39" spans="1:13" customFormat="1">
      <c r="A39" s="6">
        <v>40182</v>
      </c>
      <c r="B39" s="8">
        <f>(Original!B39-Original!B$125)/Original!B$126</f>
        <v>-1.2299534506189311</v>
      </c>
      <c r="C39" s="8">
        <f>(Original!C39-Original!C$125)/Original!C$126</f>
        <v>-1.892476363802708</v>
      </c>
      <c r="D39" s="8">
        <f>(Original!D39-Original!D$125)/Original!D$126</f>
        <v>-1.272537714712914</v>
      </c>
      <c r="E39" s="8">
        <f>(Original!E39-Original!E$125)/Original!E$126</f>
        <v>-1.2122874394096095</v>
      </c>
      <c r="F39" s="8">
        <f>(Original!F39-Original!F$125)/Original!F$126</f>
        <v>0.82600456353237584</v>
      </c>
      <c r="G39" s="8">
        <f>(Original!G39-Original!G$125)/Original!G$126</f>
        <v>-0.94796842557825833</v>
      </c>
      <c r="H39" s="8">
        <f>(Original!H39-Original!H$125)/Original!H$126</f>
        <v>-0.85919570793789291</v>
      </c>
      <c r="J39" s="6">
        <v>40182</v>
      </c>
      <c r="K39">
        <v>-2.1718325385400075</v>
      </c>
      <c r="L39">
        <v>-0.17975804610963086</v>
      </c>
      <c r="M39">
        <v>-0.22903430087283072</v>
      </c>
    </row>
    <row r="40" spans="1:13" customFormat="1">
      <c r="A40" s="6">
        <v>40210</v>
      </c>
      <c r="B40" s="8">
        <f>(Original!B40-Original!B$125)/Original!B$126</f>
        <v>0.44495968815418879</v>
      </c>
      <c r="C40" s="8">
        <f>(Original!C40-Original!C$125)/Original!C$126</f>
        <v>-0.23016609202385291</v>
      </c>
      <c r="D40" s="8">
        <f>(Original!D40-Original!D$125)/Original!D$126</f>
        <v>0.23489441256722263</v>
      </c>
      <c r="E40" s="8">
        <f>(Original!E40-Original!E$125)/Original!E$126</f>
        <v>6.2538708827268863E-2</v>
      </c>
      <c r="F40" s="8">
        <f>(Original!F40-Original!F$125)/Original!F$126</f>
        <v>-0.5208262563015742</v>
      </c>
      <c r="G40" s="8">
        <f>(Original!G40-Original!G$125)/Original!G$126</f>
        <v>0.53504928724697698</v>
      </c>
      <c r="H40" s="8">
        <f>(Original!H40-Original!H$125)/Original!H$126</f>
        <v>-0.20296873405019836</v>
      </c>
      <c r="J40" s="6">
        <v>40210</v>
      </c>
      <c r="K40">
        <v>5.2773147209656007E-2</v>
      </c>
      <c r="L40">
        <v>0.48735127372704201</v>
      </c>
      <c r="M40">
        <v>3.49665294639942E-2</v>
      </c>
    </row>
    <row r="41" spans="1:13" customFormat="1">
      <c r="A41" s="6">
        <v>40238</v>
      </c>
      <c r="B41" s="8">
        <f>(Original!B41-Original!B$125)/Original!B$126</f>
        <v>1.3485225169901356</v>
      </c>
      <c r="C41" s="8">
        <f>(Original!C41-Original!C$125)/Original!C$126</f>
        <v>0.75384963142035155</v>
      </c>
      <c r="D41" s="8">
        <f>(Original!D41-Original!D$125)/Original!D$126</f>
        <v>0.55602454846160354</v>
      </c>
      <c r="E41" s="8">
        <f>(Original!E41-Original!E$125)/Original!E$126</f>
        <v>0.68406585864729086</v>
      </c>
      <c r="F41" s="8">
        <f>(Original!F41-Original!F$125)/Original!F$126</f>
        <v>1.0542563725625786</v>
      </c>
      <c r="G41" s="8">
        <f>(Original!G41-Original!G$125)/Original!G$126</f>
        <v>1.2208219480254967</v>
      </c>
      <c r="H41" s="8">
        <f>(Original!H41-Original!H$125)/Original!H$126</f>
        <v>0.78288424883108831</v>
      </c>
      <c r="J41" s="6">
        <v>40238</v>
      </c>
      <c r="K41">
        <v>2.0454697401576705</v>
      </c>
      <c r="L41">
        <v>-0.53003790593019406</v>
      </c>
      <c r="M41">
        <v>-4.5820463847463855E-2</v>
      </c>
    </row>
    <row r="42" spans="1:13" customFormat="1">
      <c r="A42" s="6">
        <v>40269</v>
      </c>
      <c r="B42" s="8">
        <f>(Original!B42-Original!B$125)/Original!B$126</f>
        <v>0.94120388652719755</v>
      </c>
      <c r="C42" s="8">
        <f>(Original!C42-Original!C$125)/Original!C$126</f>
        <v>-1.0309870617835182</v>
      </c>
      <c r="D42" s="8">
        <f>(Original!D42-Original!D$125)/Original!D$126</f>
        <v>0.15726966800269349</v>
      </c>
      <c r="E42" s="8">
        <f>(Original!E42-Original!E$125)/Original!E$126</f>
        <v>1.1097144461091428</v>
      </c>
      <c r="F42" s="8">
        <f>(Original!F42-Original!F$125)/Original!F$126</f>
        <v>0.41644315053429282</v>
      </c>
      <c r="G42" s="8">
        <f>(Original!G42-Original!G$125)/Original!G$126</f>
        <v>0.22357044184231373</v>
      </c>
      <c r="H42" s="8">
        <f>(Original!H42-Original!H$125)/Original!H$126</f>
        <v>-0.38556557569958916</v>
      </c>
      <c r="J42" s="6">
        <v>40269</v>
      </c>
      <c r="K42">
        <v>0.38709900124886959</v>
      </c>
      <c r="L42">
        <v>0.98900428155364817</v>
      </c>
      <c r="M42">
        <v>0.34110915154099503</v>
      </c>
    </row>
    <row r="43" spans="1:13" customFormat="1">
      <c r="A43" s="6">
        <v>40301</v>
      </c>
      <c r="B43" s="8">
        <f>(Original!B43-Original!B$125)/Original!B$126</f>
        <v>-0.44170670124146033</v>
      </c>
      <c r="C43" s="8">
        <f>(Original!C43-Original!C$125)/Original!C$126</f>
        <v>-1.0690101808418859</v>
      </c>
      <c r="D43" s="8">
        <f>(Original!D43-Original!D$125)/Original!D$126</f>
        <v>-2.2693879167640758</v>
      </c>
      <c r="E43" s="8">
        <f>(Original!E43-Original!E$125)/Original!E$126</f>
        <v>-1.5714520454274501</v>
      </c>
      <c r="F43" s="8">
        <f>(Original!F43-Original!F$125)/Original!F$126</f>
        <v>-1.0104494420648824</v>
      </c>
      <c r="G43" s="8">
        <f>(Original!G43-Original!G$125)/Original!G$126</f>
        <v>-1.967059400325569</v>
      </c>
      <c r="H43" s="8">
        <f>(Original!H43-Original!H$125)/Original!H$126</f>
        <v>-0.91000945493659779</v>
      </c>
      <c r="J43" s="6">
        <v>40301</v>
      </c>
      <c r="K43">
        <v>-3.7022030860555186</v>
      </c>
      <c r="L43">
        <v>-0.49450548030203112</v>
      </c>
      <c r="M43">
        <v>-0.34147439780761468</v>
      </c>
    </row>
    <row r="44" spans="1:13" customFormat="1">
      <c r="A44" s="6">
        <v>40330</v>
      </c>
      <c r="B44" s="8">
        <f>(Original!B44-Original!B$125)/Original!B$126</f>
        <v>-0.49285067577647712</v>
      </c>
      <c r="C44" s="8">
        <f>(Original!C44-Original!C$125)/Original!C$126</f>
        <v>-1.1590473912398827</v>
      </c>
      <c r="D44" s="8">
        <f>(Original!D44-Original!D$125)/Original!D$126</f>
        <v>-1.2924055586857524</v>
      </c>
      <c r="E44" s="8">
        <f>(Original!E44-Original!E$125)/Original!E$126</f>
        <v>-1.5186056842044673</v>
      </c>
      <c r="F44" s="8">
        <f>(Original!F44-Original!F$125)/Original!F$126</f>
        <v>-0.44017692534403363</v>
      </c>
      <c r="G44" s="8">
        <f>(Original!G44-Original!G$125)/Original!G$126</f>
        <v>-1.3308657322767616</v>
      </c>
      <c r="H44" s="8">
        <f>(Original!H44-Original!H$125)/Original!H$126</f>
        <v>-0.98019963859286363</v>
      </c>
      <c r="J44" s="6">
        <v>40330</v>
      </c>
      <c r="K44">
        <v>-2.7685856229501917</v>
      </c>
      <c r="L44">
        <v>-0.10016587990326531</v>
      </c>
      <c r="M44">
        <v>-0.36759311026068331</v>
      </c>
    </row>
    <row r="45" spans="1:13" customFormat="1">
      <c r="A45" s="6">
        <v>40360</v>
      </c>
      <c r="B45" s="8">
        <f>(Original!B45-Original!B$125)/Original!B$126</f>
        <v>-1.8983709485146636E-2</v>
      </c>
      <c r="C45" s="8">
        <f>(Original!C45-Original!C$125)/Original!C$126</f>
        <v>0.91059330589048015</v>
      </c>
      <c r="D45" s="8">
        <f>(Original!D45-Original!D$125)/Original!D$126</f>
        <v>0.88224778611968158</v>
      </c>
      <c r="E45" s="8">
        <f>(Original!E45-Original!E$125)/Original!E$126</f>
        <v>1.939901838475995</v>
      </c>
      <c r="F45" s="8">
        <f>(Original!F45-Original!F$125)/Original!F$126</f>
        <v>-0.60252671197978303</v>
      </c>
      <c r="G45" s="8">
        <f>(Original!G45-Original!G$125)/Original!G$126</f>
        <v>1.4468579100873893</v>
      </c>
      <c r="H45" s="8">
        <f>(Original!H45-Original!H$125)/Original!H$126</f>
        <v>-0.75209915983896003</v>
      </c>
      <c r="J45" s="6">
        <v>40360</v>
      </c>
      <c r="K45">
        <v>1.9138733538476644</v>
      </c>
      <c r="L45">
        <v>1.5267204292755303</v>
      </c>
      <c r="M45">
        <v>-0.59040348731017833</v>
      </c>
    </row>
    <row r="46" spans="1:13" customFormat="1">
      <c r="A46" s="6">
        <v>40392</v>
      </c>
      <c r="B46" s="8">
        <f>(Original!B46-Original!B$125)/Original!B$126</f>
        <v>-0.86458831067305619</v>
      </c>
      <c r="C46" s="8">
        <f>(Original!C46-Original!C$125)/Original!C$126</f>
        <v>-1.0166790238079444</v>
      </c>
      <c r="D46" s="8">
        <f>(Original!D46-Original!D$125)/Original!D$126</f>
        <v>-0.14730115715576714</v>
      </c>
      <c r="E46" s="8">
        <f>(Original!E46-Original!E$125)/Original!E$126</f>
        <v>-0.4611122910038663</v>
      </c>
      <c r="F46" s="8">
        <f>(Original!F46-Original!F$125)/Original!F$126</f>
        <v>-0.7315969855126575</v>
      </c>
      <c r="G46" s="8">
        <f>(Original!G46-Original!G$125)/Original!G$126</f>
        <v>-1.1851803395293454</v>
      </c>
      <c r="H46" s="8">
        <f>(Original!H46-Original!H$125)/Original!H$126</f>
        <v>-1.0879393448312153</v>
      </c>
      <c r="J46" s="6">
        <v>40392</v>
      </c>
      <c r="K46">
        <v>-1.7913083245656265</v>
      </c>
      <c r="L46">
        <v>1.00426959580182</v>
      </c>
      <c r="M46">
        <v>1.7116191535375136E-2</v>
      </c>
    </row>
    <row r="47" spans="1:13" customFormat="1">
      <c r="A47" s="6">
        <v>40422</v>
      </c>
      <c r="B47" s="8">
        <f>(Original!B47-Original!B$125)/Original!B$126</f>
        <v>1.5523996514107179</v>
      </c>
      <c r="C47" s="8">
        <f>(Original!C47-Original!C$125)/Original!C$126</f>
        <v>1.849677564199347</v>
      </c>
      <c r="D47" s="8">
        <f>(Original!D47-Original!D$125)/Original!D$126</f>
        <v>0.87382926576580522</v>
      </c>
      <c r="E47" s="8">
        <f>(Original!E47-Original!E$125)/Original!E$126</f>
        <v>1.4499075436860505</v>
      </c>
      <c r="F47" s="8">
        <f>(Original!F47-Original!F$125)/Original!F$126</f>
        <v>0.9241707945976867</v>
      </c>
      <c r="G47" s="8">
        <f>(Original!G47-Original!G$125)/Original!G$126</f>
        <v>1.871990672846036</v>
      </c>
      <c r="H47" s="8">
        <f>(Original!H47-Original!H$125)/Original!H$126</f>
        <v>-0.3241039507767145</v>
      </c>
      <c r="J47" s="6">
        <v>40422</v>
      </c>
      <c r="K47">
        <v>2.9396785126217639</v>
      </c>
      <c r="L47">
        <v>0.27045646349599445</v>
      </c>
      <c r="M47">
        <v>-1.2927863566041224</v>
      </c>
    </row>
    <row r="48" spans="1:13" customFormat="1">
      <c r="A48" s="6">
        <v>40452</v>
      </c>
      <c r="B48" s="8">
        <f>(Original!B48-Original!B$125)/Original!B$126</f>
        <v>0.39412602876009023</v>
      </c>
      <c r="C48" s="8">
        <f>(Original!C48-Original!C$125)/Original!C$126</f>
        <v>1.8356622076909666</v>
      </c>
      <c r="D48" s="8">
        <f>(Original!D48-Original!D$125)/Original!D$126</f>
        <v>1.5301518551520696</v>
      </c>
      <c r="E48" s="8">
        <f>(Original!E48-Original!E$125)/Original!E$126</f>
        <v>0.18154126393727849</v>
      </c>
      <c r="F48" s="8">
        <f>(Original!F48-Original!F$125)/Original!F$126</f>
        <v>0.1376694502618854</v>
      </c>
      <c r="G48" s="8">
        <f>(Original!G48-Original!G$125)/Original!G$126</f>
        <v>0.72396632577961129</v>
      </c>
      <c r="H48" s="8">
        <f>(Original!H48-Original!H$125)/Original!H$126</f>
        <v>-0.55157064550118562</v>
      </c>
      <c r="J48" s="6">
        <v>40452</v>
      </c>
      <c r="K48">
        <v>1.6978994591795515</v>
      </c>
      <c r="L48">
        <v>0.49072994618000648</v>
      </c>
      <c r="M48">
        <v>-1.0922577914927716</v>
      </c>
    </row>
    <row r="49" spans="1:13" customFormat="1">
      <c r="A49" s="6">
        <v>40483</v>
      </c>
      <c r="B49" s="8">
        <f>(Original!B49-Original!B$125)/Original!B$126</f>
        <v>0.10118959478385693</v>
      </c>
      <c r="C49" s="8">
        <f>(Original!C49-Original!C$125)/Original!C$126</f>
        <v>-1.2870269938750838</v>
      </c>
      <c r="D49" s="8">
        <f>(Original!D49-Original!D$125)/Original!D$126</f>
        <v>1.0323372266013691</v>
      </c>
      <c r="E49" s="8">
        <f>(Original!E49-Original!E$125)/Original!E$126</f>
        <v>-0.3339894574308977</v>
      </c>
      <c r="F49" s="8">
        <f>(Original!F49-Original!F$125)/Original!F$126</f>
        <v>0.71763665654699305</v>
      </c>
      <c r="G49" s="8">
        <f>(Original!G49-Original!G$125)/Original!G$126</f>
        <v>-0.16252633044230508</v>
      </c>
      <c r="H49" s="8">
        <f>(Original!H49-Original!H$125)/Original!H$126</f>
        <v>1.5876184488599929</v>
      </c>
      <c r="J49" s="6">
        <v>40483</v>
      </c>
      <c r="K49">
        <v>0.4139122656547784</v>
      </c>
      <c r="L49">
        <v>-0.37053094086223537</v>
      </c>
      <c r="M49">
        <v>1.8766826383854687</v>
      </c>
    </row>
    <row r="50" spans="1:13" customFormat="1">
      <c r="A50" s="6">
        <v>40513</v>
      </c>
      <c r="B50" s="8">
        <f>(Original!B50-Original!B$125)/Original!B$126</f>
        <v>0.13252263266920422</v>
      </c>
      <c r="C50" s="8">
        <f>(Original!C50-Original!C$125)/Original!C$126</f>
        <v>0.66210175697648821</v>
      </c>
      <c r="D50" s="8">
        <f>(Original!D50-Original!D$125)/Original!D$126</f>
        <v>0.99857384629232904</v>
      </c>
      <c r="E50" s="8">
        <f>(Original!E50-Original!E$125)/Original!E$126</f>
        <v>2.0061110216674045</v>
      </c>
      <c r="F50" s="8">
        <f>(Original!F50-Original!F$125)/Original!F$126</f>
        <v>1.6305113464559471</v>
      </c>
      <c r="G50" s="8">
        <f>(Original!G50-Original!G$125)/Original!G$126</f>
        <v>1.3681006097283472</v>
      </c>
      <c r="H50" s="8">
        <f>(Original!H50-Original!H$125)/Original!H$126</f>
        <v>2.4884048073585867</v>
      </c>
      <c r="J50" s="6">
        <v>40513</v>
      </c>
      <c r="K50">
        <v>3.5468429655457365</v>
      </c>
      <c r="L50">
        <v>-0.96292076861311393</v>
      </c>
      <c r="M50">
        <v>1.4631471464452139</v>
      </c>
    </row>
    <row r="51" spans="1:13" customFormat="1">
      <c r="A51" s="6">
        <v>40546</v>
      </c>
      <c r="B51" s="8">
        <f>(Original!B51-Original!B$125)/Original!B$126</f>
        <v>0.29881318436971777</v>
      </c>
      <c r="C51" s="8">
        <f>(Original!C51-Original!C$125)/Original!C$126</f>
        <v>-3.1086252236328576E-2</v>
      </c>
      <c r="D51" s="8">
        <f>(Original!D51-Original!D$125)/Original!D$126</f>
        <v>2.1139042384310383</v>
      </c>
      <c r="E51" s="8">
        <f>(Original!E51-Original!E$125)/Original!E$126</f>
        <v>0.54032392083198622</v>
      </c>
      <c r="F51" s="8">
        <f>(Original!F51-Original!F$125)/Original!F$126</f>
        <v>0.80002026161826845</v>
      </c>
      <c r="G51" s="8">
        <f>(Original!G51-Original!G$125)/Original!G$126</f>
        <v>0.40216193304125936</v>
      </c>
      <c r="H51" s="8">
        <f>(Original!H51-Original!H$125)/Original!H$126</f>
        <v>-0.23284957238084564</v>
      </c>
      <c r="J51" s="6">
        <v>40546</v>
      </c>
      <c r="K51">
        <v>1.6145388485161116</v>
      </c>
      <c r="L51">
        <v>1.1779391730056732</v>
      </c>
      <c r="M51">
        <v>0.21099206475994733</v>
      </c>
    </row>
    <row r="52" spans="1:13" customFormat="1">
      <c r="A52" s="6">
        <v>40575</v>
      </c>
      <c r="B52" s="8">
        <f>(Original!B52-Original!B$125)/Original!B$126</f>
        <v>0.17890463943883644</v>
      </c>
      <c r="C52" s="8">
        <f>(Original!C52-Original!C$125)/Original!C$126</f>
        <v>9.972269913633916E-2</v>
      </c>
      <c r="D52" s="8">
        <f>(Original!D52-Original!D$125)/Original!D$126</f>
        <v>1.3087824047736767</v>
      </c>
      <c r="E52" s="8">
        <f>(Original!E52-Original!E$125)/Original!E$126</f>
        <v>1.5690732876808866</v>
      </c>
      <c r="F52" s="8">
        <f>(Original!F52-Original!F$125)/Original!F$126</f>
        <v>0.95049961839314867</v>
      </c>
      <c r="G52" s="8">
        <f>(Original!G52-Original!G$125)/Original!G$126</f>
        <v>0.61301547700882064</v>
      </c>
      <c r="H52" s="8">
        <f>(Original!H52-Original!H$125)/Original!H$126</f>
        <v>0.60936869811497429</v>
      </c>
      <c r="J52" s="6">
        <v>40575</v>
      </c>
      <c r="K52">
        <v>2.1671941827688808</v>
      </c>
      <c r="L52">
        <v>0.5839267048492488</v>
      </c>
      <c r="M52">
        <v>0.68215074239507145</v>
      </c>
    </row>
    <row r="53" spans="1:13" customFormat="1">
      <c r="A53" s="6">
        <v>40603</v>
      </c>
      <c r="B53" s="8">
        <f>(Original!B53-Original!B$125)/Original!B$126</f>
        <v>-0.41105457827905206</v>
      </c>
      <c r="C53" s="8">
        <f>(Original!C53-Original!C$125)/Original!C$126</f>
        <v>-0.67770622401362124</v>
      </c>
      <c r="D53" s="8">
        <f>(Original!D53-Original!D$125)/Original!D$126</f>
        <v>-0.44432849926384393</v>
      </c>
      <c r="E53" s="8">
        <f>(Original!E53-Original!E$125)/Original!E$126</f>
        <v>0.46789523472913003</v>
      </c>
      <c r="F53" s="8">
        <f>(Original!F53-Original!F$125)/Original!F$126</f>
        <v>0.44290851962670047</v>
      </c>
      <c r="G53" s="8">
        <f>(Original!G53-Original!G$125)/Original!G$126</f>
        <v>-0.13437920710117232</v>
      </c>
      <c r="H53" s="8">
        <f>(Original!H53-Original!H$125)/Original!H$126</f>
        <v>0.25259684083970385</v>
      </c>
      <c r="J53" s="6">
        <v>40603</v>
      </c>
      <c r="K53">
        <v>-5.1937018616327157E-2</v>
      </c>
      <c r="L53">
        <v>-8.4067185580304224E-2</v>
      </c>
      <c r="M53">
        <v>0.43115953920518701</v>
      </c>
    </row>
    <row r="54" spans="1:13" customFormat="1">
      <c r="A54" s="6">
        <v>40634</v>
      </c>
      <c r="B54" s="8">
        <f>(Original!B54-Original!B$125)/Original!B$126</f>
        <v>-0.21576815172888816</v>
      </c>
      <c r="C54" s="8">
        <f>(Original!C54-Original!C$125)/Original!C$126</f>
        <v>-1.0270332114562615</v>
      </c>
      <c r="D54" s="8">
        <f>(Original!D54-Original!D$125)/Original!D$126</f>
        <v>0.88287345396084371</v>
      </c>
      <c r="E54" s="8">
        <f>(Original!E54-Original!E$125)/Original!E$126</f>
        <v>0.16491637349997329</v>
      </c>
      <c r="F54" s="8">
        <f>(Original!F54-Original!F$125)/Original!F$126</f>
        <v>-0.56478573175726099</v>
      </c>
      <c r="G54" s="8">
        <f>(Original!G54-Original!G$125)/Original!G$126</f>
        <v>0.53463467919870911</v>
      </c>
      <c r="H54" s="8">
        <f>(Original!H54-Original!H$125)/Original!H$126</f>
        <v>-0.76947496491101375</v>
      </c>
      <c r="J54" s="6">
        <v>40634</v>
      </c>
      <c r="K54">
        <v>-6.9097411686287524E-2</v>
      </c>
      <c r="L54">
        <v>1.4848940135553708</v>
      </c>
      <c r="M54">
        <v>0.20947534314911676</v>
      </c>
    </row>
    <row r="55" spans="1:13" customFormat="1">
      <c r="A55" s="6">
        <v>40665</v>
      </c>
      <c r="B55" s="8">
        <f>(Original!B55-Original!B$125)/Original!B$126</f>
        <v>-0.33777353010880357</v>
      </c>
      <c r="C55" s="8">
        <f>(Original!C55-Original!C$125)/Original!C$126</f>
        <v>-0.49018669907139983</v>
      </c>
      <c r="D55" s="8">
        <f>(Original!D55-Original!D$125)/Original!D$126</f>
        <v>-1.0747502739990586</v>
      </c>
      <c r="E55" s="8">
        <f>(Original!E55-Original!E$125)/Original!E$126</f>
        <v>-0.71695991902716893</v>
      </c>
      <c r="F55" s="8">
        <f>(Original!F55-Original!F$125)/Original!F$126</f>
        <v>-0.33837494500833765</v>
      </c>
      <c r="G55" s="8">
        <f>(Original!G55-Original!G$125)/Original!G$126</f>
        <v>-0.41640013254811675</v>
      </c>
      <c r="H55" s="8">
        <f>(Original!H55-Original!H$125)/Original!H$126</f>
        <v>-0.98886139555111485</v>
      </c>
      <c r="J55" s="6">
        <v>40665</v>
      </c>
      <c r="K55">
        <v>-1.566441401286975</v>
      </c>
      <c r="L55">
        <v>5.8453492401881246E-2</v>
      </c>
      <c r="M55">
        <v>-0.72585837274934473</v>
      </c>
    </row>
    <row r="56" spans="1:13" customFormat="1">
      <c r="A56" s="6">
        <v>40695</v>
      </c>
      <c r="B56" s="8">
        <f>(Original!B56-Original!B$125)/Original!B$126</f>
        <v>-0.64656496063642854</v>
      </c>
      <c r="C56" s="8">
        <f>(Original!C56-Original!C$125)/Original!C$126</f>
        <v>-0.67014218807941339</v>
      </c>
      <c r="D56" s="8">
        <f>(Original!D56-Original!D$125)/Original!D$126</f>
        <v>-0.62954102057613359</v>
      </c>
      <c r="E56" s="8">
        <f>(Original!E56-Original!E$125)/Original!E$126</f>
        <v>-0.47587840203683707</v>
      </c>
      <c r="F56" s="8">
        <f>(Original!F56-Original!F$125)/Original!F$126</f>
        <v>-0.7420955635914076</v>
      </c>
      <c r="G56" s="8">
        <f>(Original!G56-Original!G$125)/Original!G$126</f>
        <v>-0.52411442136467412</v>
      </c>
      <c r="H56" s="8">
        <f>(Original!H56-Original!H$125)/Original!H$126</f>
        <v>0.238752782020451</v>
      </c>
      <c r="J56" s="6">
        <v>40695</v>
      </c>
      <c r="K56">
        <v>-1.2326390910398644</v>
      </c>
      <c r="L56">
        <v>-0.19053641012852784</v>
      </c>
      <c r="M56">
        <v>0.54691378907071542</v>
      </c>
    </row>
    <row r="57" spans="1:13" customFormat="1">
      <c r="A57" s="6">
        <v>40725</v>
      </c>
      <c r="B57" s="8">
        <f>(Original!B57-Original!B$125)/Original!B$126</f>
        <v>1.5096568990361869</v>
      </c>
      <c r="C57" s="8">
        <f>(Original!C57-Original!C$125)/Original!C$126</f>
        <v>2.1336499004590284</v>
      </c>
      <c r="D57" s="8">
        <f>(Original!D57-Original!D$125)/Original!D$126</f>
        <v>-0.51202829440644038</v>
      </c>
      <c r="E57" s="8">
        <f>(Original!E57-Original!E$125)/Original!E$126</f>
        <v>5.2109794218415495E-2</v>
      </c>
      <c r="F57" s="8">
        <f>(Original!F57-Original!F$125)/Original!F$126</f>
        <v>-0.25672558508551813</v>
      </c>
      <c r="G57" s="8">
        <f>(Original!G57-Original!G$125)/Original!G$126</f>
        <v>-0.59696471610997215</v>
      </c>
      <c r="H57" s="8">
        <f>(Original!H57-Original!H$125)/Original!H$126</f>
        <v>-1.4674917939169758</v>
      </c>
      <c r="J57" s="6">
        <v>40725</v>
      </c>
      <c r="K57">
        <v>-0.16782324768175594</v>
      </c>
      <c r="L57">
        <v>3.5298570637264604E-2</v>
      </c>
      <c r="M57">
        <v>-2.0653635324769199</v>
      </c>
    </row>
    <row r="58" spans="1:13" customFormat="1">
      <c r="A58" s="6">
        <v>40756</v>
      </c>
      <c r="B58" s="8">
        <f>(Original!B58-Original!B$125)/Original!B$126</f>
        <v>-0.42370225973054093</v>
      </c>
      <c r="C58" s="8">
        <f>(Original!C58-Original!C$125)/Original!C$126</f>
        <v>-1.3994160095883728</v>
      </c>
      <c r="D58" s="8">
        <f>(Original!D58-Original!D$125)/Original!D$126</f>
        <v>-1.5085484737296342</v>
      </c>
      <c r="E58" s="8">
        <f>(Original!E58-Original!E$125)/Original!E$126</f>
        <v>-0.85579878433692547</v>
      </c>
      <c r="F58" s="8">
        <f>(Original!F58-Original!F$125)/Original!F$126</f>
        <v>-0.95616096041027054</v>
      </c>
      <c r="G58" s="8">
        <f>(Original!G58-Original!G$125)/Original!G$126</f>
        <v>-1.3967343897284761</v>
      </c>
      <c r="H58" s="8">
        <f>(Original!H58-Original!H$125)/Original!H$126</f>
        <v>-2.0626735388242219</v>
      </c>
      <c r="J58" s="6">
        <v>40756</v>
      </c>
      <c r="K58">
        <v>-3.1430204655277336</v>
      </c>
      <c r="L58">
        <v>0.96669060194914125</v>
      </c>
      <c r="M58">
        <v>-0.83411219606316367</v>
      </c>
    </row>
    <row r="59" spans="1:13" customFormat="1">
      <c r="A59" s="6">
        <v>40787</v>
      </c>
      <c r="B59" s="8">
        <f>(Original!B59-Original!B$125)/Original!B$126</f>
        <v>-0.36552972015879004</v>
      </c>
      <c r="C59" s="8">
        <f>(Original!C59-Original!C$125)/Original!C$126</f>
        <v>-0.73122300054994327</v>
      </c>
      <c r="D59" s="8">
        <f>(Original!D59-Original!D$125)/Original!D$126</f>
        <v>-0.49581209437662627</v>
      </c>
      <c r="E59" s="8">
        <f>(Original!E59-Original!E$125)/Original!E$126</f>
        <v>-1.2119259343878479</v>
      </c>
      <c r="F59" s="8">
        <f>(Original!F59-Original!F$125)/Original!F$126</f>
        <v>-2.1012596333809195</v>
      </c>
      <c r="G59" s="8">
        <f>(Original!G59-Original!G$125)/Original!G$126</f>
        <v>-1.7357599129822974</v>
      </c>
      <c r="H59" s="8">
        <f>(Original!H59-Original!H$125)/Original!H$126</f>
        <v>6.9377583312591085E-2</v>
      </c>
      <c r="J59" s="6">
        <v>40787</v>
      </c>
      <c r="K59">
        <v>-2.7104658698963111</v>
      </c>
      <c r="L59">
        <v>0.14042805592451954</v>
      </c>
      <c r="M59">
        <v>0.93353102006389055</v>
      </c>
    </row>
    <row r="60" spans="1:13" customFormat="1">
      <c r="A60" s="6">
        <v>40819</v>
      </c>
      <c r="B60" s="8">
        <f>(Original!B60-Original!B$125)/Original!B$126</f>
        <v>0.40283486568640475</v>
      </c>
      <c r="C60" s="8">
        <f>(Original!C60-Original!C$125)/Original!C$126</f>
        <v>1.6384354631416205</v>
      </c>
      <c r="D60" s="8">
        <f>(Original!D60-Original!D$125)/Original!D$126</f>
        <v>1.5111724186828717</v>
      </c>
      <c r="E60" s="8">
        <f>(Original!E60-Original!E$125)/Original!E$126</f>
        <v>2.1348936401837619</v>
      </c>
      <c r="F60" s="8">
        <f>(Original!F60-Original!F$125)/Original!F$126</f>
        <v>3.4463178482448193</v>
      </c>
      <c r="G60" s="8">
        <f>(Original!G60-Original!G$125)/Original!G$126</f>
        <v>2.3287975295743637</v>
      </c>
      <c r="H60" s="8">
        <f>(Original!H60-Original!H$125)/Original!H$126</f>
        <v>0.29579373581089435</v>
      </c>
      <c r="J60" s="6">
        <v>40819</v>
      </c>
      <c r="K60">
        <v>4.8287848364527219</v>
      </c>
      <c r="L60">
        <v>-0.20927318852722276</v>
      </c>
      <c r="M60">
        <v>-1.1223605380624988</v>
      </c>
    </row>
    <row r="61" spans="1:13" customFormat="1">
      <c r="A61" s="6">
        <v>40848</v>
      </c>
      <c r="B61" s="8">
        <f>(Original!B61-Original!B$125)/Original!B$126</f>
        <v>-0.87305732570433459</v>
      </c>
      <c r="C61" s="8">
        <f>(Original!C61-Original!C$125)/Original!C$126</f>
        <v>-2.3549984912031727E-2</v>
      </c>
      <c r="D61" s="8">
        <f>(Original!D61-Original!D$125)/Original!D$126</f>
        <v>0.67927133396188522</v>
      </c>
      <c r="E61" s="8">
        <f>(Original!E61-Original!E$125)/Original!E$126</f>
        <v>-0.37028409705450455</v>
      </c>
      <c r="F61" s="8">
        <f>(Original!F61-Original!F$125)/Original!F$126</f>
        <v>-0.9176432548170711</v>
      </c>
      <c r="G61" s="8">
        <f>(Original!G61-Original!G$125)/Original!G$126</f>
        <v>-0.22522006496935801</v>
      </c>
      <c r="H61" s="8">
        <f>(Original!H61-Original!H$125)/Original!H$126</f>
        <v>-0.40999964632440983</v>
      </c>
      <c r="J61" s="6">
        <v>40848</v>
      </c>
      <c r="K61">
        <v>-0.45963210202478511</v>
      </c>
      <c r="L61">
        <v>0.72854191682652547</v>
      </c>
      <c r="M61">
        <v>7.3311240511100551E-2</v>
      </c>
    </row>
    <row r="62" spans="1:13" customFormat="1">
      <c r="A62" s="6">
        <v>40878</v>
      </c>
      <c r="B62" s="8">
        <f>(Original!B62-Original!B$125)/Original!B$126</f>
        <v>0.38251203646854515</v>
      </c>
      <c r="C62" s="8">
        <f>(Original!C62-Original!C$125)/Original!C$126</f>
        <v>0.76647451753396767</v>
      </c>
      <c r="D62" s="8">
        <f>(Original!D62-Original!D$125)/Original!D$126</f>
        <v>1.0525244895381263</v>
      </c>
      <c r="E62" s="8">
        <f>(Original!E62-Original!E$125)/Original!E$126</f>
        <v>0.447085249609533</v>
      </c>
      <c r="F62" s="8">
        <f>(Original!F62-Original!F$125)/Original!F$126</f>
        <v>-0.5999479436627273</v>
      </c>
      <c r="G62" s="8">
        <f>(Original!G62-Original!G$125)/Original!G$126</f>
        <v>8.2567992194073125E-2</v>
      </c>
      <c r="H62" s="8">
        <f>(Original!H62-Original!H$125)/Original!H$126</f>
        <v>-0.87459669475302815</v>
      </c>
      <c r="J62" s="6">
        <v>40878</v>
      </c>
      <c r="K62">
        <v>0.53790781640900476</v>
      </c>
      <c r="L62">
        <v>1.162004174260499</v>
      </c>
      <c r="M62">
        <v>-0.54906363690429993</v>
      </c>
    </row>
    <row r="63" spans="1:13" customFormat="1">
      <c r="A63" s="6">
        <v>40911</v>
      </c>
      <c r="B63" s="8">
        <f>(Original!B63-Original!B$125)/Original!B$126</f>
        <v>1.1162055547960377</v>
      </c>
      <c r="C63" s="8">
        <f>(Original!C63-Original!C$125)/Original!C$126</f>
        <v>-1.3749169418167677</v>
      </c>
      <c r="D63" s="8">
        <f>(Original!D63-Original!D$125)/Original!D$126</f>
        <v>-0.3517383410071242</v>
      </c>
      <c r="E63" s="8">
        <f>(Original!E63-Original!E$125)/Original!E$126</f>
        <v>-0.66361659035852272</v>
      </c>
      <c r="F63" s="8">
        <f>(Original!F63-Original!F$125)/Original!F$126</f>
        <v>1.1949140170662711</v>
      </c>
      <c r="G63" s="8">
        <f>(Original!G63-Original!G$125)/Original!G$126</f>
        <v>0.87630523706169461</v>
      </c>
      <c r="H63" s="8">
        <f>(Original!H63-Original!H$125)/Original!H$126</f>
        <v>-0.97592755255377128</v>
      </c>
      <c r="J63" s="6">
        <v>40911</v>
      </c>
      <c r="K63">
        <v>-0.31647455824513998</v>
      </c>
      <c r="L63">
        <v>0.23921039743855771</v>
      </c>
      <c r="M63">
        <v>-0.73367892292778469</v>
      </c>
    </row>
    <row r="64" spans="1:13" customFormat="1">
      <c r="A64" s="6">
        <v>40940</v>
      </c>
      <c r="B64" s="8">
        <f>(Original!B64-Original!B$125)/Original!B$126</f>
        <v>1.7818477576774781</v>
      </c>
      <c r="C64" s="8">
        <f>(Original!C64-Original!C$125)/Original!C$126</f>
        <v>0.62507637209655575</v>
      </c>
      <c r="D64" s="8">
        <f>(Original!D64-Original!D$125)/Original!D$126</f>
        <v>0.73014806222918138</v>
      </c>
      <c r="E64" s="8">
        <f>(Original!E64-Original!E$125)/Original!E$126</f>
        <v>0.97967042947148875</v>
      </c>
      <c r="F64" s="8">
        <f>(Original!F64-Original!F$125)/Original!F$126</f>
        <v>0.15541631647609566</v>
      </c>
      <c r="G64" s="8">
        <f>(Original!G64-Original!G$125)/Original!G$126</f>
        <v>0.80851322342416654</v>
      </c>
      <c r="H64" s="8">
        <f>(Original!H64-Original!H$125)/Original!H$126</f>
        <v>1.5139331058803733</v>
      </c>
      <c r="J64" s="6">
        <v>40940</v>
      </c>
      <c r="K64">
        <v>1.8395109585655502</v>
      </c>
      <c r="L64">
        <v>-0.44739128669071671</v>
      </c>
      <c r="M64">
        <v>0.962281293495588</v>
      </c>
    </row>
    <row r="65" spans="1:13" customFormat="1">
      <c r="A65" s="6">
        <v>40969</v>
      </c>
      <c r="B65" s="8">
        <f>(Original!B65-Original!B$125)/Original!B$126</f>
        <v>0.87879654455429534</v>
      </c>
      <c r="C65" s="8">
        <f>(Original!C65-Original!C$125)/Original!C$126</f>
        <v>0.28426885348709569</v>
      </c>
      <c r="D65" s="8">
        <f>(Original!D65-Original!D$125)/Original!D$126</f>
        <v>-3.787363555400336E-2</v>
      </c>
      <c r="E65" s="8">
        <f>(Original!E65-Original!E$125)/Original!E$126</f>
        <v>-0.43818804993270022</v>
      </c>
      <c r="F65" s="8">
        <f>(Original!F65-Original!F$125)/Original!F$126</f>
        <v>0.38816013685075068</v>
      </c>
      <c r="G65" s="8">
        <f>(Original!G65-Original!G$125)/Original!G$126</f>
        <v>0.59887893265719094</v>
      </c>
      <c r="H65" s="8">
        <f>(Original!H65-Original!H$125)/Original!H$126</f>
        <v>1.2565755746243923</v>
      </c>
      <c r="J65" s="6">
        <v>40969</v>
      </c>
      <c r="K65">
        <v>0.63882529130138432</v>
      </c>
      <c r="L65">
        <v>-1.1998254949521472</v>
      </c>
      <c r="M65">
        <v>0.46011217949389199</v>
      </c>
    </row>
    <row r="66" spans="1:13" customFormat="1">
      <c r="A66" s="6">
        <v>41001</v>
      </c>
      <c r="B66" s="8">
        <f>(Original!B66-Original!B$125)/Original!B$126</f>
        <v>-0.54878478900914573</v>
      </c>
      <c r="C66" s="8">
        <f>(Original!C66-Original!C$125)/Original!C$126</f>
        <v>-0.83664455772493718</v>
      </c>
      <c r="D66" s="8">
        <f>(Original!D66-Original!D$125)/Original!D$126</f>
        <v>-0.19073390984801067</v>
      </c>
      <c r="E66" s="8">
        <f>(Original!E66-Original!E$125)/Original!E$126</f>
        <v>-0.24461208197131817</v>
      </c>
      <c r="F66" s="8">
        <f>(Original!F66-Original!F$125)/Original!F$126</f>
        <v>-0.47754282192648084</v>
      </c>
      <c r="G66" s="8">
        <f>(Original!G66-Original!G$125)/Original!G$126</f>
        <v>-0.2804468930471789</v>
      </c>
      <c r="H66" s="8">
        <f>(Original!H66-Original!H$125)/Original!H$126</f>
        <v>-1.5022234407062764</v>
      </c>
      <c r="J66" s="6">
        <v>41001</v>
      </c>
      <c r="K66">
        <v>-1.2034374395120397</v>
      </c>
      <c r="L66">
        <v>1.1638300876735868</v>
      </c>
      <c r="M66">
        <v>-0.6121335918402302</v>
      </c>
    </row>
    <row r="67" spans="1:13" customFormat="1">
      <c r="A67" s="6">
        <v>41030</v>
      </c>
      <c r="B67" s="8">
        <f>(Original!B67-Original!B$125)/Original!B$126</f>
        <v>-0.38273077267634575</v>
      </c>
      <c r="C67" s="8">
        <f>(Original!C67-Original!C$125)/Original!C$126</f>
        <v>-0.63275268758427194</v>
      </c>
      <c r="D67" s="8">
        <f>(Original!D67-Original!D$125)/Original!D$126</f>
        <v>-1.8681802492026154</v>
      </c>
      <c r="E67" s="8">
        <f>(Original!E67-Original!E$125)/Original!E$126</f>
        <v>-1.3114890691613061</v>
      </c>
      <c r="F67" s="8">
        <f>(Original!F67-Original!F$125)/Original!F$126</f>
        <v>-1.3840630995343892</v>
      </c>
      <c r="G67" s="8">
        <f>(Original!G67-Original!G$125)/Original!G$126</f>
        <v>-1.5294293284711655</v>
      </c>
      <c r="H67" s="8">
        <f>(Original!H67-Original!H$125)/Original!H$126</f>
        <v>-1.1706572396698409</v>
      </c>
      <c r="J67" s="6">
        <v>41030</v>
      </c>
      <c r="K67">
        <v>-3.2426575692392015</v>
      </c>
      <c r="L67">
        <v>-7.6300488997262161E-2</v>
      </c>
      <c r="M67">
        <v>-0.61077720430739135</v>
      </c>
    </row>
    <row r="68" spans="1:13" customFormat="1">
      <c r="A68" s="6">
        <v>41061</v>
      </c>
      <c r="B68" s="8">
        <f>(Original!B68-Original!B$125)/Original!B$126</f>
        <v>-0.14828345018403677</v>
      </c>
      <c r="C68" s="8">
        <f>(Original!C68-Original!C$125)/Original!C$126</f>
        <v>-0.17569087774258776</v>
      </c>
      <c r="D68" s="8">
        <f>(Original!D68-Original!D$125)/Original!D$126</f>
        <v>1.7907049426681438</v>
      </c>
      <c r="E68" s="8">
        <f>(Original!E68-Original!E$125)/Original!E$126</f>
        <v>1.0954144830501575</v>
      </c>
      <c r="F68" s="8">
        <f>(Original!F68-Original!F$125)/Original!F$126</f>
        <v>1.2399792319303526</v>
      </c>
      <c r="G68" s="8">
        <f>(Original!G68-Original!G$125)/Original!G$126</f>
        <v>0.78508669269295384</v>
      </c>
      <c r="H68" s="8">
        <f>(Original!H68-Original!H$125)/Original!H$126</f>
        <v>0.5538749737205485</v>
      </c>
      <c r="J68" s="6">
        <v>41061</v>
      </c>
      <c r="K68">
        <v>2.2365391586331449</v>
      </c>
      <c r="L68">
        <v>0.66699499224730707</v>
      </c>
      <c r="M68">
        <v>0.70036459097509252</v>
      </c>
    </row>
    <row r="69" spans="1:13" customFormat="1">
      <c r="A69" s="6">
        <v>41092</v>
      </c>
      <c r="B69" s="8">
        <f>(Original!B69-Original!B$125)/Original!B$126</f>
        <v>0.232058663568637</v>
      </c>
      <c r="C69" s="8">
        <f>(Original!C69-Original!C$125)/Original!C$126</f>
        <v>0.92876488132981994</v>
      </c>
      <c r="D69" s="8">
        <f>(Original!D69-Original!D$125)/Original!D$126</f>
        <v>0.22485974714489509</v>
      </c>
      <c r="E69" s="8">
        <f>(Original!E69-Original!E$125)/Original!E$126</f>
        <v>0.5123066981364246</v>
      </c>
      <c r="F69" s="8">
        <f>(Original!F69-Original!F$125)/Original!F$126</f>
        <v>1.1861394091959285</v>
      </c>
      <c r="G69" s="8">
        <f>(Original!G69-Original!G$125)/Original!G$126</f>
        <v>0.17461831389795238</v>
      </c>
      <c r="H69" s="8">
        <f>(Original!H69-Original!H$125)/Original!H$126</f>
        <v>-1.2086013923174344</v>
      </c>
      <c r="J69" s="6">
        <v>41092</v>
      </c>
      <c r="K69">
        <v>0.93254764465660256</v>
      </c>
      <c r="L69">
        <v>0.38827412488195745</v>
      </c>
      <c r="M69">
        <v>-1.5080724853457157</v>
      </c>
    </row>
    <row r="70" spans="1:13" customFormat="1">
      <c r="A70" s="6">
        <v>41122</v>
      </c>
      <c r="B70" s="8">
        <f>(Original!B70-Original!B$125)/Original!B$126</f>
        <v>0.7547330703240277</v>
      </c>
      <c r="C70" s="8">
        <f>(Original!C70-Original!C$125)/Original!C$126</f>
        <v>0.82311214595926352</v>
      </c>
      <c r="D70" s="8">
        <f>(Original!D70-Original!D$125)/Original!D$126</f>
        <v>0.15554591672991819</v>
      </c>
      <c r="E70" s="8">
        <f>(Original!E70-Original!E$125)/Original!E$126</f>
        <v>0.39498049529761287</v>
      </c>
      <c r="F70" s="8">
        <f>(Original!F70-Original!F$125)/Original!F$126</f>
        <v>1.2312563715624112</v>
      </c>
      <c r="G70" s="8">
        <f>(Original!G70-Original!G$125)/Original!G$126</f>
        <v>0.33689250558781891</v>
      </c>
      <c r="H70" s="8">
        <f>(Original!H70-Original!H$125)/Original!H$126</f>
        <v>-5.4863042934269156E-2</v>
      </c>
      <c r="J70" s="6">
        <v>41122</v>
      </c>
      <c r="K70">
        <v>1.1913946539712257</v>
      </c>
      <c r="L70">
        <v>-0.38549877353267925</v>
      </c>
      <c r="M70">
        <v>-0.69446338145350284</v>
      </c>
    </row>
    <row r="71" spans="1:13" customFormat="1">
      <c r="A71" s="6">
        <v>41156</v>
      </c>
      <c r="B71" s="8">
        <f>(Original!B71-Original!B$125)/Original!B$126</f>
        <v>-0.23591477633319294</v>
      </c>
      <c r="C71" s="8">
        <f>(Original!C71-Original!C$125)/Original!C$126</f>
        <v>1.0495176916820841</v>
      </c>
      <c r="D71" s="8">
        <f>(Original!D71-Original!D$125)/Original!D$126</f>
        <v>0.92078205234295318</v>
      </c>
      <c r="E71" s="8">
        <f>(Original!E71-Original!E$125)/Original!E$126</f>
        <v>0.52172566441197621</v>
      </c>
      <c r="F71" s="8">
        <f>(Original!F71-Original!F$125)/Original!F$126</f>
        <v>2.9735643026831141E-2</v>
      </c>
      <c r="G71" s="8">
        <f>(Original!G71-Original!G$125)/Original!G$126</f>
        <v>0.43818166537253683</v>
      </c>
      <c r="H71" s="8">
        <f>(Original!H71-Original!H$125)/Original!H$126</f>
        <v>0.35822479591482287</v>
      </c>
      <c r="J71" s="6">
        <v>41156</v>
      </c>
      <c r="K71">
        <v>1.3468307208129222</v>
      </c>
      <c r="L71">
        <v>7.4247671928836773E-2</v>
      </c>
      <c r="M71">
        <v>-2.8137732497372225E-2</v>
      </c>
    </row>
    <row r="72" spans="1:13" customFormat="1">
      <c r="A72" s="6">
        <v>41183</v>
      </c>
      <c r="B72" s="8">
        <f>(Original!B72-Original!B$125)/Original!B$126</f>
        <v>-1.436644639686534</v>
      </c>
      <c r="C72" s="8">
        <f>(Original!C72-Original!C$125)/Original!C$126</f>
        <v>-1.3329787352058364</v>
      </c>
      <c r="D72" s="8">
        <f>(Original!D72-Original!D$125)/Original!D$126</f>
        <v>-0.16007870134067631</v>
      </c>
      <c r="E72" s="8">
        <f>(Original!E72-Original!E$125)/Original!E$126</f>
        <v>-1.0594346682611946</v>
      </c>
      <c r="F72" s="8">
        <f>(Original!F72-Original!F$125)/Original!F$126</f>
        <v>-0.84600908651571993</v>
      </c>
      <c r="G72" s="8">
        <f>(Original!G72-Original!G$125)/Original!G$126</f>
        <v>-0.55880641347296445</v>
      </c>
      <c r="H72" s="8">
        <f>(Original!H72-Original!H$125)/Original!H$126</f>
        <v>0.87661155443207994</v>
      </c>
      <c r="J72" s="6">
        <v>41183</v>
      </c>
      <c r="K72">
        <v>-1.4467229491999298</v>
      </c>
      <c r="L72">
        <v>-0.32950512902660156</v>
      </c>
      <c r="M72">
        <v>1.3820462990347795</v>
      </c>
    </row>
    <row r="73" spans="1:13" customFormat="1">
      <c r="A73" s="6">
        <v>41214</v>
      </c>
      <c r="B73" s="8">
        <f>(Original!B73-Original!B$125)/Original!B$126</f>
        <v>-0.40091773194752145</v>
      </c>
      <c r="C73" s="8">
        <f>(Original!C73-Original!C$125)/Original!C$126</f>
        <v>0.15749650475519733</v>
      </c>
      <c r="D73" s="8">
        <f>(Original!D73-Original!D$125)/Original!D$126</f>
        <v>-0.67531150286475305</v>
      </c>
      <c r="E73" s="8">
        <f>(Original!E73-Original!E$125)/Original!E$126</f>
        <v>-0.7005019025010174</v>
      </c>
      <c r="F73" s="8">
        <f>(Original!F73-Original!F$125)/Original!F$126</f>
        <v>0.96942504970682519</v>
      </c>
      <c r="G73" s="8">
        <f>(Original!G73-Original!G$125)/Original!G$126</f>
        <v>-4.6196310757893468E-2</v>
      </c>
      <c r="H73" s="8">
        <f>(Original!H73-Original!H$125)/Original!H$126</f>
        <v>-0.96185013695868959</v>
      </c>
      <c r="J73" s="6">
        <v>41214</v>
      </c>
      <c r="K73">
        <v>-0.44495091399840347</v>
      </c>
      <c r="L73">
        <v>-0.37465538900555495</v>
      </c>
      <c r="M73">
        <v>-1.3111743691999405</v>
      </c>
    </row>
    <row r="74" spans="1:13" customFormat="1">
      <c r="A74" s="6">
        <v>41246</v>
      </c>
      <c r="B74" s="8">
        <f>(Original!B74-Original!B$125)/Original!B$126</f>
        <v>-1.2532964790088366</v>
      </c>
      <c r="C74" s="8">
        <f>(Original!C74-Original!C$125)/Original!C$126</f>
        <v>-5.5103680232908778E-3</v>
      </c>
      <c r="D74" s="8">
        <f>(Original!D74-Original!D$125)/Original!D$126</f>
        <v>-0.48002086700957558</v>
      </c>
      <c r="E74" s="8">
        <f>(Original!E74-Original!E$125)/Original!E$126</f>
        <v>0.25018559987763223</v>
      </c>
      <c r="F74" s="8">
        <f>(Original!F74-Original!F$125)/Original!F$126</f>
        <v>0.43791422174011996</v>
      </c>
      <c r="G74" s="8">
        <f>(Original!G74-Original!G$125)/Original!G$126</f>
        <v>4.9402660365459962E-2</v>
      </c>
      <c r="H74" s="8">
        <f>(Original!H74-Original!H$125)/Original!H$126</f>
        <v>1.1818983605381967</v>
      </c>
      <c r="J74" s="6">
        <v>41246</v>
      </c>
      <c r="K74">
        <v>0.3962100862021764</v>
      </c>
      <c r="L74">
        <v>-0.99437493273270938</v>
      </c>
      <c r="M74">
        <v>0.68789938376533344</v>
      </c>
    </row>
    <row r="75" spans="1:13" customFormat="1">
      <c r="A75" s="6">
        <v>41276</v>
      </c>
      <c r="B75" s="8">
        <f>(Original!B75-Original!B$125)/Original!B$126</f>
        <v>-1.8335211320236977</v>
      </c>
      <c r="C75" s="8">
        <f>(Original!C75-Original!C$125)/Original!C$126</f>
        <v>0.65548274125541095</v>
      </c>
      <c r="D75" s="8">
        <f>(Original!D75-Original!D$125)/Original!D$126</f>
        <v>0.74941054856173783</v>
      </c>
      <c r="E75" s="8">
        <f>(Original!E75-Original!E$125)/Original!E$126</f>
        <v>0.95476603430051354</v>
      </c>
      <c r="F75" s="8">
        <f>(Original!F75-Original!F$125)/Original!F$126</f>
        <v>2.5055128595771792</v>
      </c>
      <c r="G75" s="8">
        <f>(Original!G75-Original!G$125)/Original!G$126</f>
        <v>1.03131557749442</v>
      </c>
      <c r="H75" s="8">
        <f>(Original!H75-Original!H$125)/Original!H$126</f>
        <v>1.4108289285316244</v>
      </c>
      <c r="J75" s="6">
        <v>41276</v>
      </c>
      <c r="K75">
        <v>2.8541398672347751</v>
      </c>
      <c r="L75">
        <v>-1.105331866929794</v>
      </c>
      <c r="M75">
        <v>0.27574195711196459</v>
      </c>
    </row>
    <row r="76" spans="1:13" customFormat="1">
      <c r="A76" s="6">
        <v>41306</v>
      </c>
      <c r="B76" s="8">
        <f>(Original!B76-Original!B$125)/Original!B$126</f>
        <v>-0.54135070784648476</v>
      </c>
      <c r="C76" s="8">
        <f>(Original!C76-Original!C$125)/Original!C$126</f>
        <v>0.55917221221030677</v>
      </c>
      <c r="D76" s="8">
        <f>(Original!D76-Original!D$125)/Original!D$126</f>
        <v>-5.8559917166151679E-2</v>
      </c>
      <c r="E76" s="8">
        <f>(Original!E76-Original!E$125)/Original!E$126</f>
        <v>0.28585961786147635</v>
      </c>
      <c r="F76" s="8">
        <f>(Original!F76-Original!F$125)/Original!F$126</f>
        <v>0.34022910875043111</v>
      </c>
      <c r="G76" s="8">
        <f>(Original!G76-Original!G$125)/Original!G$126</f>
        <v>0.13981362976068099</v>
      </c>
      <c r="H76" s="8">
        <f>(Original!H76-Original!H$125)/Original!H$126</f>
        <v>-0.86778684121470639</v>
      </c>
      <c r="J76" s="6">
        <v>41306</v>
      </c>
      <c r="K76">
        <v>0.30174085536940015</v>
      </c>
      <c r="L76">
        <v>0.32510229476027275</v>
      </c>
      <c r="M76">
        <v>-0.98629737510263538</v>
      </c>
    </row>
    <row r="77" spans="1:13" customFormat="1">
      <c r="A77" s="6">
        <v>41334</v>
      </c>
      <c r="B77" s="8">
        <f>(Original!B77-Original!B$125)/Original!B$126</f>
        <v>-0.23527754157211572</v>
      </c>
      <c r="C77" s="8">
        <f>(Original!C77-Original!C$125)/Original!C$126</f>
        <v>-0.2638677904606912</v>
      </c>
      <c r="D77" s="8">
        <f>(Original!D77-Original!D$125)/Original!D$126</f>
        <v>3.8907107137570056E-2</v>
      </c>
      <c r="E77" s="8">
        <f>(Original!E77-Original!E$125)/Original!E$126</f>
        <v>9.9164870515529607E-2</v>
      </c>
      <c r="F77" s="8">
        <f>(Original!F77-Original!F$125)/Original!F$126</f>
        <v>-0.11453070649665903</v>
      </c>
      <c r="G77" s="8">
        <f>(Original!G77-Original!G$125)/Original!G$126</f>
        <v>0.7043037559815013</v>
      </c>
      <c r="H77" s="8">
        <f>(Original!H77-Original!H$125)/Original!H$126</f>
        <v>-2.1523643464097891E-2</v>
      </c>
      <c r="J77" s="6">
        <v>41334</v>
      </c>
      <c r="K77">
        <v>0.25963122249897785</v>
      </c>
      <c r="L77">
        <v>0.17815469827665206</v>
      </c>
      <c r="M77">
        <v>9.8299622011408759E-3</v>
      </c>
    </row>
    <row r="78" spans="1:13" customFormat="1">
      <c r="A78" s="6">
        <v>41365</v>
      </c>
      <c r="B78" s="8">
        <f>(Original!B78-Original!B$125)/Original!B$126</f>
        <v>-0.2633773646440612</v>
      </c>
      <c r="C78" s="8">
        <f>(Original!C78-Original!C$125)/Original!C$126</f>
        <v>0.29700352098940969</v>
      </c>
      <c r="D78" s="8">
        <f>(Original!D78-Original!D$125)/Original!D$126</f>
        <v>-0.36018098213875632</v>
      </c>
      <c r="E78" s="8">
        <f>(Original!E78-Original!E$125)/Original!E$126</f>
        <v>0.31222163663626162</v>
      </c>
      <c r="F78" s="8">
        <f>(Original!F78-Original!F$125)/Original!F$126</f>
        <v>-1.1433388776156179</v>
      </c>
      <c r="G78" s="8">
        <f>(Original!G78-Original!G$125)/Original!G$126</f>
        <v>0.29890209999892281</v>
      </c>
      <c r="H78" s="8">
        <f>(Original!H78-Original!H$125)/Original!H$126</f>
        <v>-0.80925547082412053</v>
      </c>
      <c r="J78" s="6">
        <v>41365</v>
      </c>
      <c r="K78">
        <v>-0.40453641225494386</v>
      </c>
      <c r="L78">
        <v>0.67903159091088405</v>
      </c>
      <c r="M78">
        <v>-0.57715367275254126</v>
      </c>
    </row>
    <row r="79" spans="1:13" customFormat="1">
      <c r="A79" s="6">
        <v>41395</v>
      </c>
      <c r="B79" s="8">
        <f>(Original!B79-Original!B$125)/Original!B$126</f>
        <v>-2.2481861238737778E-2</v>
      </c>
      <c r="C79" s="8">
        <f>(Original!C79-Original!C$125)/Original!C$126</f>
        <v>0.51563899113656897</v>
      </c>
      <c r="D79" s="8">
        <f>(Original!D79-Original!D$125)/Original!D$126</f>
        <v>0.41081544016052779</v>
      </c>
      <c r="E79" s="8">
        <f>(Original!E79-Original!E$125)/Original!E$126</f>
        <v>9.7866507942941536E-2</v>
      </c>
      <c r="F79" s="8">
        <f>(Original!F79-Original!F$125)/Original!F$126</f>
        <v>0.90066065594045408</v>
      </c>
      <c r="G79" s="8">
        <f>(Original!G79-Original!G$125)/Original!G$126</f>
        <v>0.35952553329639997</v>
      </c>
      <c r="H79" s="8">
        <f>(Original!H79-Original!H$125)/Original!H$126</f>
        <v>3.6603163791451681</v>
      </c>
      <c r="J79" s="6">
        <v>41395</v>
      </c>
      <c r="K79">
        <v>1.8519538965846429</v>
      </c>
      <c r="L79">
        <v>-2.4605229857511191</v>
      </c>
      <c r="M79">
        <v>2.2717802780640919</v>
      </c>
    </row>
    <row r="80" spans="1:13" customFormat="1">
      <c r="A80" s="6">
        <v>41428</v>
      </c>
      <c r="B80" s="8">
        <f>(Original!B80-Original!B$125)/Original!B$126</f>
        <v>-1.5529488069977748</v>
      </c>
      <c r="C80" s="8">
        <f>(Original!C80-Original!C$125)/Original!C$126</f>
        <v>-3.4138099424775789E-2</v>
      </c>
      <c r="D80" s="8">
        <f>(Original!D80-Original!D$125)/Original!D$126</f>
        <v>-0.12301016006123237</v>
      </c>
      <c r="E80" s="8">
        <f>(Original!E80-Original!E$125)/Original!E$126</f>
        <v>-0.7499011618733652</v>
      </c>
      <c r="F80" s="8">
        <f>(Original!F80-Original!F$125)/Original!F$126</f>
        <v>-1.425581687508046</v>
      </c>
      <c r="G80" s="8">
        <f>(Original!G80-Original!G$125)/Original!G$126</f>
        <v>-0.45033123618842735</v>
      </c>
      <c r="H80" s="8">
        <f>(Original!H80-Original!H$125)/Original!H$126</f>
        <v>2.0772860095381334</v>
      </c>
      <c r="J80" s="6">
        <v>41428</v>
      </c>
      <c r="K80">
        <v>-0.68337169150375032</v>
      </c>
      <c r="L80">
        <v>-1.1938053588316984</v>
      </c>
      <c r="M80">
        <v>1.8003252691454683</v>
      </c>
    </row>
    <row r="81" spans="1:13" customFormat="1">
      <c r="A81" s="6">
        <v>41456</v>
      </c>
      <c r="B81" s="8">
        <f>(Original!B81-Original!B$125)/Original!B$126</f>
        <v>1.2697176648047881</v>
      </c>
      <c r="C81" s="8">
        <f>(Original!C81-Original!C$125)/Original!C$126</f>
        <v>-5.9430375087031757E-2</v>
      </c>
      <c r="D81" s="8">
        <f>(Original!D81-Original!D$125)/Original!D$126</f>
        <v>0.70918287593446616</v>
      </c>
      <c r="E81" s="8">
        <f>(Original!E81-Original!E$125)/Original!E$126</f>
        <v>0.93743772093117805</v>
      </c>
      <c r="F81" s="8">
        <f>(Original!F81-Original!F$125)/Original!F$126</f>
        <v>0.17119053867925954</v>
      </c>
      <c r="G81" s="8">
        <f>(Original!G81-Original!G$125)/Original!G$126</f>
        <v>1.0094394886949707</v>
      </c>
      <c r="H81" s="8">
        <f>(Original!H81-Original!H$125)/Original!H$126</f>
        <v>7.314335283386513E-3</v>
      </c>
      <c r="J81" s="6">
        <v>41456</v>
      </c>
      <c r="K81">
        <v>1.2888023794578465</v>
      </c>
      <c r="L81">
        <v>0.67382875499996453</v>
      </c>
      <c r="M81">
        <v>0.12978397298929123</v>
      </c>
    </row>
    <row r="82" spans="1:13" customFormat="1">
      <c r="A82" s="6">
        <v>41487</v>
      </c>
      <c r="B82" s="8">
        <f>(Original!B82-Original!B$125)/Original!B$126</f>
        <v>0.64476934117270801</v>
      </c>
      <c r="C82" s="8">
        <f>(Original!C82-Original!C$125)/Original!C$126</f>
        <v>-0.70855499289475354</v>
      </c>
      <c r="D82" s="8">
        <f>(Original!D82-Original!D$125)/Original!D$126</f>
        <v>-1.4589668007512986</v>
      </c>
      <c r="E82" s="8">
        <f>(Original!E82-Original!E$125)/Original!E$126</f>
        <v>-0.7421466608430235</v>
      </c>
      <c r="F82" s="8">
        <f>(Original!F82-Original!F$125)/Original!F$126</f>
        <v>-0.10031695021868352</v>
      </c>
      <c r="G82" s="8">
        <f>(Original!G82-Original!G$125)/Original!G$126</f>
        <v>-0.81942649872855111</v>
      </c>
      <c r="H82" s="8">
        <f>(Original!H82-Original!H$125)/Original!H$126</f>
        <v>0.98345192791209701</v>
      </c>
      <c r="J82" s="6">
        <v>41487</v>
      </c>
      <c r="K82">
        <v>-1.4397787928299273</v>
      </c>
      <c r="L82">
        <v>-1.3420216180495985</v>
      </c>
      <c r="M82">
        <v>0.76988806980394386</v>
      </c>
    </row>
    <row r="83" spans="1:13" customFormat="1">
      <c r="A83" s="6">
        <v>41520</v>
      </c>
      <c r="B83" s="8">
        <f>(Original!B83-Original!B$125)/Original!B$126</f>
        <v>-0.50005602876069888</v>
      </c>
      <c r="C83" s="8">
        <f>(Original!C83-Original!C$125)/Original!C$126</f>
        <v>0.24929006355229294</v>
      </c>
      <c r="D83" s="8">
        <f>(Original!D83-Original!D$125)/Original!D$126</f>
        <v>-0.36916672520338373</v>
      </c>
      <c r="E83" s="8">
        <f>(Original!E83-Original!E$125)/Original!E$126</f>
        <v>8.3000302423453954E-3</v>
      </c>
      <c r="F83" s="8">
        <f>(Original!F83-Original!F$125)/Original!F$126</f>
        <v>-0.45279882578992431</v>
      </c>
      <c r="G83" s="8">
        <f>(Original!G83-Original!G$125)/Original!G$126</f>
        <v>0.56303557297245366</v>
      </c>
      <c r="H83" s="8">
        <f>(Original!H83-Original!H$125)/Original!H$126</f>
        <v>-0.90715220065767654</v>
      </c>
      <c r="J83" s="6">
        <v>41520</v>
      </c>
      <c r="K83">
        <v>-0.19288312280221659</v>
      </c>
      <c r="L83">
        <v>0.41259550586905613</v>
      </c>
      <c r="M83">
        <v>-0.90861241654953273</v>
      </c>
    </row>
    <row r="84" spans="1:13" customFormat="1">
      <c r="A84" s="6">
        <v>41548</v>
      </c>
      <c r="B84" s="8">
        <f>(Original!B84-Original!B$125)/Original!B$126</f>
        <v>0.78197694209156199</v>
      </c>
      <c r="C84" s="8">
        <f>(Original!C84-Original!C$125)/Original!C$126</f>
        <v>1.9476659405922374</v>
      </c>
      <c r="D84" s="8">
        <f>(Original!D84-Original!D$125)/Original!D$126</f>
        <v>0.79413911510166846</v>
      </c>
      <c r="E84" s="8">
        <f>(Original!E84-Original!E$125)/Original!E$126</f>
        <v>-0.35648657760454078</v>
      </c>
      <c r="F84" s="8">
        <f>(Original!F84-Original!F$125)/Original!F$126</f>
        <v>1.8031701761526153</v>
      </c>
      <c r="G84" s="8">
        <f>(Original!G84-Original!G$125)/Original!G$126</f>
        <v>0.89923828263530536</v>
      </c>
      <c r="H84" s="8">
        <f>(Original!H84-Original!H$125)/Original!H$126</f>
        <v>-0.37162737080131786</v>
      </c>
      <c r="J84" s="6">
        <v>41548</v>
      </c>
      <c r="K84">
        <v>1.9509893358720471</v>
      </c>
      <c r="L84">
        <v>-0.74886099432037456</v>
      </c>
      <c r="M84">
        <v>-1.7352377439863265</v>
      </c>
    </row>
    <row r="85" spans="1:13" customFormat="1">
      <c r="A85" s="6">
        <v>41579</v>
      </c>
      <c r="B85" s="8">
        <f>(Original!B85-Original!B$125)/Original!B$126</f>
        <v>0.49560704088024859</v>
      </c>
      <c r="C85" s="8">
        <f>(Original!C85-Original!C$125)/Original!C$126</f>
        <v>0.17643685024767811</v>
      </c>
      <c r="D85" s="8">
        <f>(Original!D85-Original!D$125)/Original!D$126</f>
        <v>0.97697771438547565</v>
      </c>
      <c r="E85" s="8">
        <f>(Original!E85-Original!E$125)/Original!E$126</f>
        <v>0.35277521706726384</v>
      </c>
      <c r="F85" s="8">
        <f>(Original!F85-Original!F$125)/Original!F$126</f>
        <v>0.97840199292966246</v>
      </c>
      <c r="G85" s="8">
        <f>(Original!G85-Original!G$125)/Original!G$126</f>
        <v>0.52453677856239722</v>
      </c>
      <c r="H85" s="8">
        <f>(Original!H85-Original!H$125)/Original!H$126</f>
        <v>0.24170971894322738</v>
      </c>
      <c r="J85" s="6">
        <v>41579</v>
      </c>
      <c r="K85">
        <v>1.3560864379681252</v>
      </c>
      <c r="L85">
        <v>0.11523869351883481</v>
      </c>
      <c r="M85">
        <v>6.1584812995423746E-2</v>
      </c>
    </row>
    <row r="86" spans="1:13" customFormat="1">
      <c r="A86" s="6">
        <v>41610</v>
      </c>
      <c r="B86" s="8">
        <f>(Original!B86-Original!B$125)/Original!B$126</f>
        <v>-0.16950488847552705</v>
      </c>
      <c r="C86" s="8">
        <f>(Original!C86-Original!C$125)/Original!C$126</f>
        <v>0.52885884435587804</v>
      </c>
      <c r="D86" s="8">
        <f>(Original!D86-Original!D$125)/Original!D$126</f>
        <v>1.6694354853386801</v>
      </c>
      <c r="E86" s="8">
        <f>(Original!E86-Original!E$125)/Original!E$126</f>
        <v>0.19929474274998374</v>
      </c>
      <c r="F86" s="8">
        <f>(Original!F86-Original!F$125)/Original!F$126</f>
        <v>0.85057107135972232</v>
      </c>
      <c r="G86" s="8">
        <f>(Original!G86-Original!G$125)/Original!G$126</f>
        <v>0.42293293309559599</v>
      </c>
      <c r="H86" s="8">
        <f>(Original!H86-Original!H$125)/Original!H$126</f>
        <v>1.833800523247203</v>
      </c>
      <c r="J86" s="6">
        <v>41610</v>
      </c>
      <c r="K86">
        <v>2.009975679421705</v>
      </c>
      <c r="L86">
        <v>-0.65982615276027223</v>
      </c>
      <c r="M86">
        <v>1.2572960505729813</v>
      </c>
    </row>
    <row r="87" spans="1:13" customFormat="1">
      <c r="A87" s="6">
        <v>41641</v>
      </c>
      <c r="B87" s="8">
        <f>(Original!B87-Original!B$125)/Original!B$126</f>
        <v>-1.4376949698207924</v>
      </c>
      <c r="C87" s="8">
        <f>(Original!C87-Original!C$125)/Original!C$126</f>
        <v>0.48216047382499855</v>
      </c>
      <c r="D87" s="8">
        <f>(Original!D87-Original!D$125)/Original!D$126</f>
        <v>-2.0028366164318605</v>
      </c>
      <c r="E87" s="8">
        <f>(Original!E87-Original!E$125)/Original!E$126</f>
        <v>-1.9408800784932381</v>
      </c>
      <c r="F87" s="8">
        <f>(Original!F87-Original!F$125)/Original!F$126</f>
        <v>3.3918016930575286E-2</v>
      </c>
      <c r="G87" s="8">
        <f>(Original!G87-Original!G$125)/Original!G$126</f>
        <v>-0.91646059786796041</v>
      </c>
      <c r="H87" s="8">
        <f>(Original!H87-Original!H$125)/Original!H$126</f>
        <v>-0.92787975850349003</v>
      </c>
      <c r="J87" s="6">
        <v>41641</v>
      </c>
      <c r="K87">
        <v>-2.269443371975842</v>
      </c>
      <c r="L87">
        <v>-1.3709730302970873</v>
      </c>
      <c r="M87">
        <v>-1.614680656927012</v>
      </c>
    </row>
    <row r="88" spans="1:13" customFormat="1">
      <c r="A88" s="6">
        <v>41673</v>
      </c>
      <c r="B88" s="8">
        <f>(Original!B88-Original!B$125)/Original!B$126</f>
        <v>0.35919401924321709</v>
      </c>
      <c r="C88" s="8">
        <f>(Original!C88-Original!C$125)/Original!C$126</f>
        <v>0.19095409749391401</v>
      </c>
      <c r="D88" s="8">
        <f>(Original!D88-Original!D$125)/Original!D$126</f>
        <v>1.0160008297880778</v>
      </c>
      <c r="E88" s="8">
        <f>(Original!E88-Original!E$125)/Original!E$126</f>
        <v>0.57405203410059524</v>
      </c>
      <c r="F88" s="8">
        <f>(Original!F88-Original!F$125)/Original!F$126</f>
        <v>-0.6132565322682425</v>
      </c>
      <c r="G88" s="8">
        <f>(Original!G88-Original!G$125)/Original!G$126</f>
        <v>0.86575162793515825</v>
      </c>
      <c r="H88" s="8">
        <f>(Original!H88-Original!H$125)/Original!H$126</f>
        <v>-1.7115188655569536E-2</v>
      </c>
      <c r="J88" s="6">
        <v>41673</v>
      </c>
      <c r="K88">
        <v>0.95921900679673566</v>
      </c>
      <c r="L88">
        <v>0.84710022387581174</v>
      </c>
      <c r="M88">
        <v>0.20788499081793929</v>
      </c>
    </row>
    <row r="89" spans="1:13" customFormat="1">
      <c r="A89" s="6">
        <v>41701</v>
      </c>
      <c r="B89" s="8">
        <f>(Original!B89-Original!B$125)/Original!B$126</f>
        <v>-4.9306441369242865E-2</v>
      </c>
      <c r="C89" s="8">
        <f>(Original!C89-Original!C$125)/Original!C$126</f>
        <v>-1.1468858805401072</v>
      </c>
      <c r="D89" s="8">
        <f>(Original!D89-Original!D$125)/Original!D$126</f>
        <v>0.21819073058021057</v>
      </c>
      <c r="E89" s="8">
        <f>(Original!E89-Original!E$125)/Original!E$126</f>
        <v>0.38318308256266281</v>
      </c>
      <c r="F89" s="8">
        <f>(Original!F89-Original!F$125)/Original!F$126</f>
        <v>0.89071305264401057</v>
      </c>
      <c r="G89" s="8">
        <f>(Original!G89-Original!G$125)/Original!G$126</f>
        <v>4.6321381483461717E-2</v>
      </c>
      <c r="H89" s="8">
        <f>(Original!H89-Original!H$125)/Original!H$126</f>
        <v>0.95210008529430068</v>
      </c>
      <c r="J89" s="6">
        <v>41701</v>
      </c>
      <c r="K89">
        <v>0.46101676244539413</v>
      </c>
      <c r="L89">
        <v>-0.19785121395566158</v>
      </c>
      <c r="M89">
        <v>1.1861263913344042</v>
      </c>
    </row>
    <row r="90" spans="1:13" customFormat="1">
      <c r="A90" s="6">
        <v>41730</v>
      </c>
      <c r="B90" s="8">
        <f>(Original!B90-Original!B$125)/Original!B$126</f>
        <v>0.81476565314603555</v>
      </c>
      <c r="C90" s="8">
        <f>(Original!C90-Original!C$125)/Original!C$126</f>
        <v>-0.80883988988802313</v>
      </c>
      <c r="D90" s="8">
        <f>(Original!D90-Original!D$125)/Original!D$126</f>
        <v>0.93971197956930508</v>
      </c>
      <c r="E90" s="8">
        <f>(Original!E90-Original!E$125)/Original!E$126</f>
        <v>0.79850820473960771</v>
      </c>
      <c r="F90" s="8">
        <f>(Original!F90-Original!F$125)/Original!F$126</f>
        <v>0.61321406793850897</v>
      </c>
      <c r="G90" s="8">
        <f>(Original!G90-Original!G$125)/Original!G$126</f>
        <v>2.9758872457017999E-2</v>
      </c>
      <c r="H90" s="8">
        <f>(Original!H90-Original!H$125)/Original!H$126</f>
        <v>-0.2175369834206537</v>
      </c>
      <c r="J90" s="6">
        <v>41730</v>
      </c>
      <c r="K90">
        <v>0.6873208497731681</v>
      </c>
      <c r="L90">
        <v>1.0193325484003837</v>
      </c>
      <c r="M90">
        <v>0.49050413488310646</v>
      </c>
    </row>
    <row r="91" spans="1:13" customFormat="1">
      <c r="A91" s="6">
        <v>41760</v>
      </c>
      <c r="B91" s="8">
        <f>(Original!B91-Original!B$125)/Original!B$126</f>
        <v>0.58976051077796632</v>
      </c>
      <c r="C91" s="8">
        <f>(Original!C91-Original!C$125)/Original!C$126</f>
        <v>0.59345035188885664</v>
      </c>
      <c r="D91" s="8">
        <f>(Original!D91-Original!D$125)/Original!D$126</f>
        <v>-0.34445006999391531</v>
      </c>
      <c r="E91" s="8">
        <f>(Original!E91-Original!E$125)/Original!E$126</f>
        <v>-0.36873745422963111</v>
      </c>
      <c r="F91" s="8">
        <f>(Original!F91-Original!F$125)/Original!F$126</f>
        <v>-0.23386643209848257</v>
      </c>
      <c r="G91" s="8">
        <f>(Original!G91-Original!G$125)/Original!G$126</f>
        <v>0.36558253011577596</v>
      </c>
      <c r="H91" s="8">
        <f>(Original!H91-Original!H$125)/Original!H$126</f>
        <v>-0.62740425882059159</v>
      </c>
      <c r="J91" s="6">
        <v>41760</v>
      </c>
      <c r="K91">
        <v>-0.17343629528820234</v>
      </c>
      <c r="L91">
        <v>-7.8544935611905953E-2</v>
      </c>
      <c r="M91">
        <v>-0.94764228227787517</v>
      </c>
    </row>
    <row r="92" spans="1:13" customFormat="1">
      <c r="A92" s="6">
        <v>41792</v>
      </c>
      <c r="B92" s="8">
        <f>(Original!B92-Original!B$125)/Original!B$126</f>
        <v>3.4540723421950623E-2</v>
      </c>
      <c r="C92" s="8">
        <f>(Original!C92-Original!C$125)/Original!C$126</f>
        <v>0.16854151529625738</v>
      </c>
      <c r="D92" s="8">
        <f>(Original!D92-Original!D$125)/Original!D$126</f>
        <v>-6.2802936072028387E-2</v>
      </c>
      <c r="E92" s="8">
        <f>(Original!E92-Original!E$125)/Original!E$126</f>
        <v>0.92725328945249452</v>
      </c>
      <c r="F92" s="8">
        <f>(Original!F92-Original!F$125)/Original!F$126</f>
        <v>-1.0741476283481437</v>
      </c>
      <c r="G92" s="8">
        <f>(Original!G92-Original!G$125)/Original!G$126</f>
        <v>0.32092645211290816</v>
      </c>
      <c r="H92" s="8">
        <f>(Original!H92-Original!H$125)/Original!H$126</f>
        <v>0.40105906321464729</v>
      </c>
      <c r="J92" s="6">
        <v>41792</v>
      </c>
      <c r="K92">
        <v>0.30462734328718033</v>
      </c>
      <c r="L92">
        <v>0.35704779845451762</v>
      </c>
      <c r="M92">
        <v>0.55450647236470196</v>
      </c>
    </row>
    <row r="93" spans="1:13" customFormat="1">
      <c r="A93" s="6">
        <v>41821</v>
      </c>
      <c r="B93" s="8">
        <f>(Original!B93-Original!B$125)/Original!B$126</f>
        <v>4.6172391987164108E-2</v>
      </c>
      <c r="C93" s="8">
        <f>(Original!C93-Original!C$125)/Original!C$126</f>
        <v>-0.23579476042860006</v>
      </c>
      <c r="D93" s="8">
        <f>(Original!D93-Original!D$125)/Original!D$126</f>
        <v>-0.4638491119447023</v>
      </c>
      <c r="E93" s="8">
        <f>(Original!E93-Original!E$125)/Original!E$126</f>
        <v>-0.31181009906564106</v>
      </c>
      <c r="F93" s="8">
        <f>(Original!F93-Original!F$125)/Original!F$126</f>
        <v>3.4685986947472207E-2</v>
      </c>
      <c r="G93" s="8">
        <f>(Original!G93-Original!G$125)/Original!G$126</f>
        <v>-0.45215486756307799</v>
      </c>
      <c r="H93" s="8">
        <f>(Original!H93-Original!H$125)/Original!H$126</f>
        <v>0.54378947222888807</v>
      </c>
      <c r="J93" s="6">
        <v>41821</v>
      </c>
      <c r="K93">
        <v>-0.50731926389465998</v>
      </c>
      <c r="L93">
        <v>-0.61093267649393224</v>
      </c>
      <c r="M93">
        <v>0.43372964221084687</v>
      </c>
    </row>
    <row r="94" spans="1:13" customFormat="1">
      <c r="A94" s="6">
        <v>41852</v>
      </c>
      <c r="B94" s="8">
        <f>(Original!B94-Original!B$125)/Original!B$126</f>
        <v>0.57670410467375988</v>
      </c>
      <c r="C94" s="8">
        <f>(Original!C94-Original!C$125)/Original!C$126</f>
        <v>-0.15946214874906356</v>
      </c>
      <c r="D94" s="8">
        <f>(Original!D94-Original!D$125)/Original!D$126</f>
        <v>0.16717972810770471</v>
      </c>
      <c r="E94" s="8">
        <f>(Original!E94-Original!E$125)/Original!E$126</f>
        <v>2.9503670726749236E-2</v>
      </c>
      <c r="F94" s="8">
        <f>(Original!F94-Original!F$125)/Original!F$126</f>
        <v>0.56441431389052354</v>
      </c>
      <c r="G94" s="8">
        <f>(Original!G94-Original!G$125)/Original!G$126</f>
        <v>0.74206702900937416</v>
      </c>
      <c r="H94" s="8">
        <f>(Original!H94-Original!H$125)/Original!H$126</f>
        <v>-0.53125904489261178</v>
      </c>
      <c r="J94" s="6">
        <v>41852</v>
      </c>
      <c r="K94">
        <v>0.47997377930234819</v>
      </c>
      <c r="L94">
        <v>0.28696346657143673</v>
      </c>
      <c r="M94">
        <v>-0.56459628871940437</v>
      </c>
    </row>
    <row r="95" spans="1:13" customFormat="1">
      <c r="A95" s="6">
        <v>41884</v>
      </c>
      <c r="B95" s="8">
        <f>(Original!B95-Original!B$125)/Original!B$126</f>
        <v>-0.45202281742796352</v>
      </c>
      <c r="C95" s="8">
        <f>(Original!C95-Original!C$125)/Original!C$126</f>
        <v>-3.9215382930136308E-2</v>
      </c>
      <c r="D95" s="8">
        <f>(Original!D95-Original!D$125)/Original!D$126</f>
        <v>-1.2565949933974716</v>
      </c>
      <c r="E95" s="8">
        <f>(Original!E95-Original!E$125)/Original!E$126</f>
        <v>-1.4660692142363909</v>
      </c>
      <c r="F95" s="8">
        <f>(Original!F95-Original!F$125)/Original!F$126</f>
        <v>-1.4360618839903416</v>
      </c>
      <c r="G95" s="8">
        <f>(Original!G95-Original!G$125)/Original!G$126</f>
        <v>-0.46198323572527145</v>
      </c>
      <c r="H95" s="8">
        <f>(Original!H95-Original!H$125)/Original!H$126</f>
        <v>0.59999266344830282</v>
      </c>
      <c r="J95" s="6">
        <v>41884</v>
      </c>
      <c r="K95">
        <v>-1.8909523579424183</v>
      </c>
      <c r="L95">
        <v>-1.1384259877112246</v>
      </c>
      <c r="M95">
        <v>0.28983744568882597</v>
      </c>
    </row>
    <row r="96" spans="1:13" customFormat="1">
      <c r="A96" s="6">
        <v>41913</v>
      </c>
      <c r="B96" s="8">
        <f>(Original!B96-Original!B$125)/Original!B$126</f>
        <v>0.5163543021432595</v>
      </c>
      <c r="C96" s="8">
        <f>(Original!C96-Original!C$125)/Original!C$126</f>
        <v>-0.53727266006226104</v>
      </c>
      <c r="D96" s="8">
        <f>(Original!D96-Original!D$125)/Original!D$126</f>
        <v>0.50948285667746618</v>
      </c>
      <c r="E96" s="8">
        <f>(Original!E96-Original!E$125)/Original!E$126</f>
        <v>-5.2695908261053151E-2</v>
      </c>
      <c r="F96" s="8">
        <f>(Original!F96-Original!F$125)/Original!F$126</f>
        <v>0.66777584289050096</v>
      </c>
      <c r="G96" s="8">
        <f>(Original!G96-Original!G$125)/Original!G$126</f>
        <v>0.4147503583662987</v>
      </c>
      <c r="H96" s="8">
        <f>(Original!H96-Original!H$125)/Original!H$126</f>
        <v>-0.64606299687227298</v>
      </c>
      <c r="J96" s="6">
        <v>41913</v>
      </c>
      <c r="K96">
        <v>0.30330464114469335</v>
      </c>
      <c r="L96">
        <v>0.60108253698201131</v>
      </c>
      <c r="M96">
        <v>-0.33929332763397124</v>
      </c>
    </row>
    <row r="97" spans="1:13" customFormat="1">
      <c r="A97" s="6">
        <v>41946</v>
      </c>
      <c r="B97" s="8">
        <f>(Original!B97-Original!B$125)/Original!B$126</f>
        <v>0.88635928805107378</v>
      </c>
      <c r="C97" s="8">
        <f>(Original!C97-Original!C$125)/Original!C$126</f>
        <v>-0.52764122927761914</v>
      </c>
      <c r="D97" s="8">
        <f>(Original!D97-Original!D$125)/Original!D$126</f>
        <v>-1.3131177383133186</v>
      </c>
      <c r="E97" s="8">
        <f>(Original!E97-Original!E$125)/Original!E$126</f>
        <v>-1.5625217294543301</v>
      </c>
      <c r="F97" s="8">
        <f>(Original!F97-Original!F$125)/Original!F$126</f>
        <v>-0.31698091849047655</v>
      </c>
      <c r="G97" s="8">
        <f>(Original!G97-Original!G$125)/Original!G$126</f>
        <v>0.4449172796122865</v>
      </c>
      <c r="H97" s="8">
        <f>(Original!H97-Original!H$125)/Original!H$126</f>
        <v>-0.44247231650161284</v>
      </c>
      <c r="J97" s="6">
        <v>41946</v>
      </c>
      <c r="K97">
        <v>-1.5170724485308738</v>
      </c>
      <c r="L97">
        <v>-0.75900700528364506</v>
      </c>
      <c r="M97">
        <v>-0.73574109879072669</v>
      </c>
    </row>
    <row r="98" spans="1:13" customFormat="1">
      <c r="A98" s="6">
        <v>41974</v>
      </c>
      <c r="B98" s="8">
        <f>(Original!B98-Original!B$125)/Original!B$126</f>
        <v>-1.0482529496593984</v>
      </c>
      <c r="C98" s="8">
        <f>(Original!C98-Original!C$125)/Original!C$126</f>
        <v>-0.49928044863995397</v>
      </c>
      <c r="D98" s="8">
        <f>(Original!D98-Original!D$125)/Original!D$126</f>
        <v>0.35595564373894345</v>
      </c>
      <c r="E98" s="8">
        <f>(Original!E98-Original!E$125)/Original!E$126</f>
        <v>0.37238391628091394</v>
      </c>
      <c r="F98" s="8">
        <f>(Original!F98-Original!F$125)/Original!F$126</f>
        <v>7.4717998137848685E-2</v>
      </c>
      <c r="G98" s="8">
        <f>(Original!G98-Original!G$125)/Original!G$126</f>
        <v>-0.20551545495736714</v>
      </c>
      <c r="H98" s="8">
        <f>(Original!H98-Original!H$125)/Original!H$126</f>
        <v>0.60406264379242991</v>
      </c>
      <c r="J98" s="6">
        <v>41974</v>
      </c>
      <c r="K98">
        <v>0.22464771563550251</v>
      </c>
      <c r="L98">
        <v>0.11143154811056605</v>
      </c>
      <c r="M98">
        <v>0.88738362026519368</v>
      </c>
    </row>
    <row r="99" spans="1:13" customFormat="1">
      <c r="A99" s="6">
        <v>42006</v>
      </c>
      <c r="B99" s="8">
        <f>(Original!B99-Original!B$125)/Original!B$126</f>
        <v>0.40175938100153546</v>
      </c>
      <c r="C99" s="8">
        <f>(Original!C99-Original!C$125)/Original!C$126</f>
        <v>2.4608914975784164E-2</v>
      </c>
      <c r="D99" s="8">
        <f>(Original!D99-Original!D$125)/Original!D$126</f>
        <v>-1.2568969063836033</v>
      </c>
      <c r="E99" s="8">
        <f>(Original!E99-Original!E$125)/Original!E$126</f>
        <v>-1.5975085308428678</v>
      </c>
      <c r="F99" s="8">
        <f>(Original!F99-Original!F$125)/Original!F$126</f>
        <v>0.53600098214595859</v>
      </c>
      <c r="G99" s="8">
        <f>(Original!G99-Original!G$125)/Original!G$126</f>
        <v>-0.81360173428340032</v>
      </c>
      <c r="H99" s="8">
        <f>(Original!H99-Original!H$125)/Original!H$126</f>
        <v>-1.8981439160405891</v>
      </c>
      <c r="J99" s="6">
        <v>42006</v>
      </c>
      <c r="K99">
        <v>-1.9455104747291847</v>
      </c>
      <c r="L99">
        <v>-0.25977353029049555</v>
      </c>
      <c r="M99">
        <v>-1.9837718398647675</v>
      </c>
    </row>
    <row r="100" spans="1:13" customFormat="1">
      <c r="A100" s="6">
        <v>42037</v>
      </c>
      <c r="B100" s="8">
        <f>(Original!B100-Original!B$125)/Original!B$126</f>
        <v>0.82977593450362364</v>
      </c>
      <c r="C100" s="8">
        <f>(Original!C100-Original!C$125)/Original!C$126</f>
        <v>0.37364428766665042</v>
      </c>
      <c r="D100" s="8">
        <f>(Original!D100-Original!D$125)/Original!D$126</f>
        <v>0.34184647861805406</v>
      </c>
      <c r="E100" s="8">
        <f>(Original!E100-Original!E$125)/Original!E$126</f>
        <v>0.71577168533485513</v>
      </c>
      <c r="F100" s="8">
        <f>(Original!F100-Original!F$125)/Original!F$126</f>
        <v>1.5226416449743219</v>
      </c>
      <c r="G100" s="8">
        <f>(Original!G100-Original!G$125)/Original!G$126</f>
        <v>1.1324152039185773</v>
      </c>
      <c r="H100" s="8">
        <f>(Original!H100-Original!H$125)/Original!H$126</f>
        <v>1.7618393135359538</v>
      </c>
      <c r="J100" s="6">
        <v>42037</v>
      </c>
      <c r="K100">
        <v>2.210834660013008</v>
      </c>
      <c r="L100">
        <v>-1.2343028730876753</v>
      </c>
      <c r="M100">
        <v>0.7278533295411207</v>
      </c>
    </row>
    <row r="101" spans="1:13" customFormat="1">
      <c r="A101" s="6">
        <v>42065</v>
      </c>
      <c r="B101" s="8">
        <f>(Original!B101-Original!B$125)/Original!B$126</f>
        <v>-0.60754094045247187</v>
      </c>
      <c r="C101" s="8">
        <f>(Original!C101-Original!C$125)/Original!C$126</f>
        <v>-0.38170813074831345</v>
      </c>
      <c r="D101" s="8">
        <f>(Original!D101-Original!D$125)/Original!D$126</f>
        <v>-0.94874153360367253</v>
      </c>
      <c r="E101" s="8">
        <f>(Original!E101-Original!E$125)/Original!E$126</f>
        <v>-0.41165404561967872</v>
      </c>
      <c r="F101" s="8">
        <f>(Original!F101-Original!F$125)/Original!F$126</f>
        <v>0.19449731505034373</v>
      </c>
      <c r="G101" s="8">
        <f>(Original!G101-Original!G$125)/Original!G$126</f>
        <v>-0.50460848093328181</v>
      </c>
      <c r="H101" s="8">
        <f>(Original!H101-Original!H$125)/Original!H$126</f>
        <v>-0.59652675237710862</v>
      </c>
      <c r="J101" s="6">
        <v>42065</v>
      </c>
      <c r="K101">
        <v>-1.0644790517054257</v>
      </c>
      <c r="L101">
        <v>-0.18932806412272585</v>
      </c>
      <c r="M101">
        <v>-0.50150089694481048</v>
      </c>
    </row>
    <row r="102" spans="1:13" customFormat="1">
      <c r="A102" s="6">
        <v>42095</v>
      </c>
      <c r="B102" s="8">
        <f>(Original!B102-Original!B$125)/Original!B$126</f>
        <v>-0.20338986291555972</v>
      </c>
      <c r="C102" s="8">
        <f>(Original!C102-Original!C$125)/Original!C$126</f>
        <v>-0.39163819473828199</v>
      </c>
      <c r="D102" s="8">
        <f>(Original!D102-Original!D$125)/Original!D$126</f>
        <v>0.50093021713157337</v>
      </c>
      <c r="E102" s="8">
        <f>(Original!E102-Original!E$125)/Original!E$126</f>
        <v>0.83789012173697408</v>
      </c>
      <c r="F102" s="8">
        <f>(Original!F102-Original!F$125)/Original!F$126</f>
        <v>-1.0692728447514575</v>
      </c>
      <c r="G102" s="8">
        <f>(Original!G102-Original!G$125)/Original!G$126</f>
        <v>8.2297507457263844E-2</v>
      </c>
      <c r="H102" s="8">
        <f>(Original!H102-Original!H$125)/Original!H$126</f>
        <v>0.30284244597502663</v>
      </c>
      <c r="J102" s="6">
        <v>42095</v>
      </c>
      <c r="K102">
        <v>0.16233144483784601</v>
      </c>
      <c r="L102">
        <v>0.8576139405604335</v>
      </c>
      <c r="M102">
        <v>0.94007217696052203</v>
      </c>
    </row>
    <row r="103" spans="1:13" customFormat="1">
      <c r="A103" s="6">
        <v>42125</v>
      </c>
      <c r="B103" s="8">
        <f>(Original!B103-Original!B$125)/Original!B$126</f>
        <v>0.22680808524959353</v>
      </c>
      <c r="C103" s="8">
        <f>(Original!C103-Original!C$125)/Original!C$126</f>
        <v>-0.27560710271203742</v>
      </c>
      <c r="D103" s="8">
        <f>(Original!D103-Original!D$125)/Original!D$126</f>
        <v>-0.45293376138433705</v>
      </c>
      <c r="E103" s="8">
        <f>(Original!E103-Original!E$125)/Original!E$126</f>
        <v>-1.2135895759681432</v>
      </c>
      <c r="F103" s="8">
        <f>(Original!F103-Original!F$125)/Original!F$126</f>
        <v>0.35081660532964953</v>
      </c>
      <c r="G103" s="8">
        <f>(Original!G103-Original!G$125)/Original!G$126</f>
        <v>0.1269222055712782</v>
      </c>
      <c r="H103" s="8">
        <f>(Original!H103-Original!H$125)/Original!H$126</f>
        <v>9.3884934221019165E-2</v>
      </c>
      <c r="J103" s="6">
        <v>42125</v>
      </c>
      <c r="K103">
        <v>-0.64587203094970025</v>
      </c>
      <c r="L103">
        <v>-0.79446511284617216</v>
      </c>
      <c r="M103">
        <v>-0.25991914405557492</v>
      </c>
    </row>
    <row r="104" spans="1:13" customFormat="1">
      <c r="A104" s="6">
        <v>42156</v>
      </c>
      <c r="B104" s="8">
        <f>(Original!B104-Original!B$125)/Original!B$126</f>
        <v>-0.67123242058276655</v>
      </c>
      <c r="C104" s="8">
        <f>(Original!C104-Original!C$125)/Original!C$126</f>
        <v>-0.41959787874649557</v>
      </c>
      <c r="D104" s="8">
        <f>(Original!D104-Original!D$125)/Original!D$126</f>
        <v>-0.59611265013174752</v>
      </c>
      <c r="E104" s="8">
        <f>(Original!E104-Original!E$125)/Original!E$126</f>
        <v>-1.2147086037716457</v>
      </c>
      <c r="F104" s="8">
        <f>(Original!F104-Original!F$125)/Original!F$126</f>
        <v>0.42925566348341326</v>
      </c>
      <c r="G104" s="8">
        <f>(Original!G104-Original!G$125)/Original!G$126</f>
        <v>-0.58648535816909009</v>
      </c>
      <c r="H104" s="8">
        <f>(Original!H104-Original!H$125)/Original!H$126</f>
        <v>0.70904176110392136</v>
      </c>
      <c r="J104" s="6">
        <v>42156</v>
      </c>
      <c r="K104">
        <v>-0.92648977006719102</v>
      </c>
      <c r="L104">
        <v>-1.1996302842871949</v>
      </c>
      <c r="M104">
        <v>0.37365986661882911</v>
      </c>
    </row>
    <row r="105" spans="1:13" customFormat="1">
      <c r="A105" s="6">
        <v>42186</v>
      </c>
      <c r="B105" s="8">
        <f>(Original!B105-Original!B$125)/Original!B$126</f>
        <v>-0.62445489498541518</v>
      </c>
      <c r="C105" s="8">
        <f>(Original!C105-Original!C$125)/Original!C$126</f>
        <v>2.2499876897573254</v>
      </c>
      <c r="D105" s="8">
        <f>(Original!D105-Original!D$125)/Original!D$126</f>
        <v>-1.1190932413310963</v>
      </c>
      <c r="E105" s="8">
        <f>(Original!E105-Original!E$125)/Original!E$126</f>
        <v>-1.5433849169224043</v>
      </c>
      <c r="F105" s="8">
        <f>(Original!F105-Original!F$125)/Original!F$126</f>
        <v>0.40868910279022108</v>
      </c>
      <c r="G105" s="8">
        <f>(Original!G105-Original!G$125)/Original!G$126</f>
        <v>0.33640924751337836</v>
      </c>
      <c r="H105" s="8">
        <f>(Original!H105-Original!H$125)/Original!H$126</f>
        <v>-0.3486374892074664</v>
      </c>
      <c r="J105" s="6">
        <v>42186</v>
      </c>
      <c r="K105">
        <v>-0.14432268264178422</v>
      </c>
      <c r="L105">
        <v>-1.8717980994442591</v>
      </c>
      <c r="M105">
        <v>-2.1382928193390942</v>
      </c>
    </row>
    <row r="106" spans="1:13" customFormat="1">
      <c r="A106" s="6">
        <v>42219</v>
      </c>
      <c r="B106" s="8">
        <f>(Original!B106-Original!B$125)/Original!B$126</f>
        <v>-0.98631300747455608</v>
      </c>
      <c r="C106" s="8">
        <f>(Original!C106-Original!C$125)/Original!C$126</f>
        <v>-0.29984615112728491</v>
      </c>
      <c r="D106" s="8">
        <f>(Original!D106-Original!D$125)/Original!D$126</f>
        <v>-0.97545047132910601</v>
      </c>
      <c r="E106" s="8">
        <f>(Original!E106-Original!E$125)/Original!E$126</f>
        <v>-1.3791756694130843</v>
      </c>
      <c r="F106" s="8">
        <f>(Original!F106-Original!F$125)/Original!F$126</f>
        <v>-0.97511829542488893</v>
      </c>
      <c r="G106" s="8">
        <f>(Original!G106-Original!G$125)/Original!G$126</f>
        <v>-1.5278462275511533</v>
      </c>
      <c r="H106" s="8">
        <f>(Original!H106-Original!H$125)/Original!H$126</f>
        <v>-5.1625301943518907E-2</v>
      </c>
      <c r="J106" s="6">
        <v>42219</v>
      </c>
      <c r="K106">
        <v>-2.3245772453642171</v>
      </c>
      <c r="L106">
        <v>-0.58265681222968702</v>
      </c>
      <c r="M106">
        <v>0.16619486756008628</v>
      </c>
    </row>
    <row r="107" spans="1:13" customFormat="1">
      <c r="A107" s="6">
        <v>42248</v>
      </c>
      <c r="B107" s="8">
        <f>(Original!B107-Original!B$125)/Original!B$126</f>
        <v>-0.50361132006895937</v>
      </c>
      <c r="C107" s="8">
        <f>(Original!C107-Original!C$125)/Original!C$126</f>
        <v>-0.3491914932881966</v>
      </c>
      <c r="D107" s="8">
        <f>(Original!D107-Original!D$125)/Original!D$126</f>
        <v>-0.34735482239666471</v>
      </c>
      <c r="E107" s="8">
        <f>(Original!E107-Original!E$125)/Original!E$126</f>
        <v>-0.58283454016476965</v>
      </c>
      <c r="F107" s="8">
        <f>(Original!F107-Original!F$125)/Original!F$126</f>
        <v>2.3936792183953233E-2</v>
      </c>
      <c r="G107" s="8">
        <f>(Original!G107-Original!G$125)/Original!G$126</f>
        <v>-0.70947755939006207</v>
      </c>
      <c r="H107" s="8">
        <f>(Original!H107-Original!H$125)/Original!H$126</f>
        <v>-0.73860559174811691</v>
      </c>
      <c r="J107" s="6">
        <v>42248</v>
      </c>
      <c r="K107">
        <v>-1.0737319556030118</v>
      </c>
      <c r="L107">
        <v>0.17352231143987767</v>
      </c>
      <c r="M107">
        <v>-0.41680944592374608</v>
      </c>
    </row>
    <row r="108" spans="1:13" customFormat="1">
      <c r="A108" s="6">
        <v>42278</v>
      </c>
      <c r="B108" s="8">
        <f>(Original!B108-Original!B$125)/Original!B$126</f>
        <v>0.64087636022234806</v>
      </c>
      <c r="C108" s="8">
        <f>(Original!C108-Original!C$125)/Original!C$126</f>
        <v>1.8486987171109412</v>
      </c>
      <c r="D108" s="8">
        <f>(Original!D108-Original!D$125)/Original!D$126</f>
        <v>2.3158347982386678</v>
      </c>
      <c r="E108" s="8">
        <f>(Original!E108-Original!E$125)/Original!E$126</f>
        <v>2.4319700835589324</v>
      </c>
      <c r="F108" s="8">
        <f>(Original!F108-Original!F$125)/Original!F$126</f>
        <v>0.79958451962265165</v>
      </c>
      <c r="G108" s="8">
        <f>(Original!G108-Original!G$125)/Original!G$126</f>
        <v>1.7685456195035572</v>
      </c>
      <c r="H108" s="8">
        <f>(Original!H108-Original!H$125)/Original!H$126</f>
        <v>0.71919294883718587</v>
      </c>
      <c r="J108" s="6">
        <v>42278</v>
      </c>
      <c r="K108">
        <v>4.187214738667894</v>
      </c>
      <c r="L108">
        <v>0.79002587156487736</v>
      </c>
      <c r="M108">
        <v>8.9943718180961585E-2</v>
      </c>
    </row>
    <row r="109" spans="1:13" customFormat="1">
      <c r="A109" s="6">
        <v>42310</v>
      </c>
      <c r="B109" s="8">
        <f>(Original!B109-Original!B$125)/Original!B$126</f>
        <v>-0.32945591597638563</v>
      </c>
      <c r="C109" s="8">
        <f>(Original!C109-Original!C$125)/Original!C$126</f>
        <v>0.37421801640767643</v>
      </c>
      <c r="D109" s="8">
        <f>(Original!D109-Original!D$125)/Original!D$126</f>
        <v>-0.18971731343119691</v>
      </c>
      <c r="E109" s="8">
        <f>(Original!E109-Original!E$125)/Original!E$126</f>
        <v>0.14753305365470978</v>
      </c>
      <c r="F109" s="8">
        <f>(Original!F109-Original!F$125)/Original!F$126</f>
        <v>0.80917874686390545</v>
      </c>
      <c r="G109" s="8">
        <f>(Original!G109-Original!G$125)/Original!G$126</f>
        <v>-9.9229005997756109E-2</v>
      </c>
      <c r="H109" s="8">
        <f>(Original!H109-Original!H$125)/Original!H$126</f>
        <v>0.52739822294334326</v>
      </c>
      <c r="J109" s="6">
        <v>42310</v>
      </c>
      <c r="K109">
        <v>0.52519393063739561</v>
      </c>
      <c r="L109">
        <v>-0.7256703149856264</v>
      </c>
      <c r="M109">
        <v>1.8618438297533679E-2</v>
      </c>
    </row>
    <row r="110" spans="1:13" customFormat="1">
      <c r="A110" s="6">
        <v>42339</v>
      </c>
      <c r="B110" s="8">
        <f>(Original!B110-Original!B$125)/Original!B$126</f>
        <v>-1.4652297762063495</v>
      </c>
      <c r="C110" s="8">
        <f>(Original!C110-Original!C$125)/Original!C$126</f>
        <v>0.10214198715433853</v>
      </c>
      <c r="D110" s="8">
        <f>(Original!D110-Original!D$125)/Original!D$126</f>
        <v>-1.0651689821819561</v>
      </c>
      <c r="E110" s="8">
        <f>(Original!E110-Original!E$125)/Original!E$126</f>
        <v>-0.39401121550509677</v>
      </c>
      <c r="F110" s="8">
        <f>(Original!F110-Original!F$125)/Original!F$126</f>
        <v>-0.24200185167625543</v>
      </c>
      <c r="G110" s="8">
        <f>(Original!G110-Original!G$125)/Original!G$126</f>
        <v>-0.50764477209116776</v>
      </c>
      <c r="H110" s="8">
        <f>(Original!H110-Original!H$125)/Original!H$126</f>
        <v>0.39703968370111725</v>
      </c>
      <c r="J110" s="6">
        <v>42339</v>
      </c>
      <c r="K110">
        <v>-0.85504994033907811</v>
      </c>
      <c r="L110">
        <v>-0.88470384953437164</v>
      </c>
      <c r="M110">
        <v>6.5200705838249773E-2</v>
      </c>
    </row>
    <row r="111" spans="1:13" customFormat="1">
      <c r="A111" s="6">
        <v>42373</v>
      </c>
      <c r="B111" s="8">
        <f>(Original!B111-Original!B$125)/Original!B$126</f>
        <v>-1.0847031800563023</v>
      </c>
      <c r="C111" s="8">
        <f>(Original!C111-Original!C$125)/Original!C$126</f>
        <v>-0.40995009805191801</v>
      </c>
      <c r="D111" s="8">
        <f>(Original!D111-Original!D$125)/Original!D$126</f>
        <v>-0.12207872161237927</v>
      </c>
      <c r="E111" s="8">
        <f>(Original!E111-Original!E$125)/Original!E$126</f>
        <v>-0.79843060880109873</v>
      </c>
      <c r="F111" s="8">
        <f>(Original!F111-Original!F$125)/Original!F$126</f>
        <v>-0.46501619935355532</v>
      </c>
      <c r="G111" s="8">
        <f>(Original!G111-Original!G$125)/Original!G$126</f>
        <v>-1.2595971119289526</v>
      </c>
      <c r="H111" s="8">
        <f>(Original!H111-Original!H$125)/Original!H$126</f>
        <v>-1.6232371473612572</v>
      </c>
      <c r="J111" s="6">
        <v>42373</v>
      </c>
      <c r="K111">
        <v>-1.7795629469439815</v>
      </c>
      <c r="L111">
        <v>0.92371075920674439</v>
      </c>
      <c r="M111">
        <v>-0.78400368116230545</v>
      </c>
    </row>
    <row r="112" spans="1:13" customFormat="1">
      <c r="A112" s="6">
        <v>42401</v>
      </c>
      <c r="B112" s="8">
        <f>(Original!B112-Original!B$125)/Original!B$126</f>
        <v>-0.28032889323241006</v>
      </c>
      <c r="C112" s="8">
        <f>(Original!C112-Original!C$125)/Original!C$126</f>
        <v>-0.8851183619438272</v>
      </c>
      <c r="D112" s="8">
        <f>(Original!D112-Original!D$125)/Original!D$126</f>
        <v>0.73603239044233049</v>
      </c>
      <c r="E112" s="8">
        <f>(Original!E112-Original!E$125)/Original!E$126</f>
        <v>-0.5278292997297368</v>
      </c>
      <c r="F112" s="8">
        <f>(Original!F112-Original!F$125)/Original!F$126</f>
        <v>-1.0736208831080238</v>
      </c>
      <c r="G112" s="8">
        <f>(Original!G112-Original!G$125)/Original!G$126</f>
        <v>-0.20415156447142502</v>
      </c>
      <c r="H112" s="8">
        <f>(Original!H112-Original!H$125)/Original!H$126</f>
        <v>-0.59495298990673362</v>
      </c>
      <c r="J112" s="6">
        <v>42401</v>
      </c>
      <c r="K112">
        <v>-0.92348797489780032</v>
      </c>
      <c r="L112">
        <v>1.1454811283703614</v>
      </c>
      <c r="M112">
        <v>0.38014628943422807</v>
      </c>
    </row>
    <row r="113" spans="1:17">
      <c r="A113" s="6">
        <v>42430</v>
      </c>
      <c r="B113" s="8">
        <f>(Original!B113-Original!B$125)/Original!B$126</f>
        <v>1.1172889222338593</v>
      </c>
      <c r="C113" s="8">
        <f>(Original!C113-Original!C$125)/Original!C$126</f>
        <v>0.64738249363128209</v>
      </c>
      <c r="D113" s="8">
        <f>(Original!D113-Original!D$125)/Original!D$126</f>
        <v>0.82213995821003805</v>
      </c>
      <c r="E113" s="8">
        <f>(Original!E113-Original!E$125)/Original!E$126</f>
        <v>2.2831874709706343</v>
      </c>
      <c r="F113" s="8">
        <f>(Original!F113-Original!F$125)/Original!F$126</f>
        <v>0.52948209252076428</v>
      </c>
      <c r="G113" s="8">
        <f>(Original!G113-Original!G$125)/Original!G$126</f>
        <v>1.3837504406652696</v>
      </c>
      <c r="H113" s="8">
        <f>(Original!H113-Original!H$125)/Original!H$126</f>
        <v>3.0182132566431406E-4</v>
      </c>
      <c r="J113" s="6">
        <v>42430</v>
      </c>
      <c r="K113">
        <v>2.5527711130298796</v>
      </c>
      <c r="L113">
        <v>0.92653082490929384</v>
      </c>
      <c r="M113">
        <v>-0.1003261185812248</v>
      </c>
      <c r="N113"/>
      <c r="O113"/>
      <c r="P113"/>
      <c r="Q113"/>
    </row>
    <row r="114" spans="1:17">
      <c r="A114" s="6">
        <v>42461</v>
      </c>
      <c r="B114" s="8">
        <f>(Original!B114-Original!B$125)/Original!B$126</f>
        <v>-1.788186290896578</v>
      </c>
      <c r="C114" s="8">
        <f>(Original!C114-Original!C$125)/Original!C$126</f>
        <v>-0.99145423046671177</v>
      </c>
      <c r="D114" s="8">
        <f>(Original!D114-Original!D$125)/Original!D$126</f>
        <v>1.1345159787606665</v>
      </c>
      <c r="E114" s="8">
        <f>(Original!E114-Original!E$125)/Original!E$126</f>
        <v>1.0604430666606217</v>
      </c>
      <c r="F114" s="8">
        <f>(Original!F114-Original!F$125)/Original!F$126</f>
        <v>-0.85269701524638475</v>
      </c>
      <c r="G114" s="8">
        <f>(Original!G114-Original!G$125)/Original!G$126</f>
        <v>-4.9532436697645288E-2</v>
      </c>
      <c r="H114" s="8">
        <f>(Original!H114-Original!H$125)/Original!H$126</f>
        <v>0.27759577798056245</v>
      </c>
      <c r="J114" s="6">
        <v>42461</v>
      </c>
      <c r="K114">
        <v>0.33582932945803973</v>
      </c>
      <c r="L114">
        <v>1.4227944386944023</v>
      </c>
      <c r="M114">
        <v>1.4051447594100315</v>
      </c>
      <c r="N114"/>
      <c r="O114"/>
      <c r="P114"/>
      <c r="Q114"/>
    </row>
    <row r="115" spans="1:17">
      <c r="A115" s="6">
        <v>42492</v>
      </c>
      <c r="B115" s="8">
        <f>(Original!B115-Original!B$125)/Original!B$126</f>
        <v>0.51431785052916212</v>
      </c>
      <c r="C115" s="8">
        <f>(Original!C115-Original!C$125)/Original!C$126</f>
        <v>0.57595546894817529</v>
      </c>
      <c r="D115" s="8">
        <f>(Original!D115-Original!D$125)/Original!D$126</f>
        <v>0.23592724966519107</v>
      </c>
      <c r="E115" s="8">
        <f>(Original!E115-Original!E$125)/Original!E$126</f>
        <v>-0.16062958137299849</v>
      </c>
      <c r="F115" s="8">
        <f>(Original!F115-Original!F$125)/Original!F$126</f>
        <v>-0.65544446862690053</v>
      </c>
      <c r="G115" s="8">
        <f>(Original!G115-Original!G$125)/Original!G$126</f>
        <v>0.23637367638833176</v>
      </c>
      <c r="H115" s="8">
        <f>(Original!H115-Original!H$125)/Original!H$126</f>
        <v>0.39484957066428755</v>
      </c>
      <c r="J115" s="6">
        <v>42492</v>
      </c>
      <c r="K115">
        <v>0.19508019593013842</v>
      </c>
      <c r="L115">
        <v>-0.1967127792660362</v>
      </c>
      <c r="M115">
        <v>0.12998950064565182</v>
      </c>
      <c r="N115"/>
      <c r="O115"/>
      <c r="P115"/>
      <c r="Q115"/>
    </row>
    <row r="116" spans="1:17">
      <c r="A116" s="6">
        <v>42522</v>
      </c>
      <c r="B116" s="8">
        <f>(Original!B116-Original!B$125)/Original!B$126</f>
        <v>-0.73031699678865869</v>
      </c>
      <c r="C116" s="8">
        <f>(Original!C116-Original!C$125)/Original!C$126</f>
        <v>-0.86694746225936226</v>
      </c>
      <c r="D116" s="8">
        <f>(Original!D116-Original!D$125)/Original!D$126</f>
        <v>1.0379401319477863</v>
      </c>
      <c r="E116" s="8">
        <f>(Original!E116-Original!E$125)/Original!E$126</f>
        <v>0.4995812895816486</v>
      </c>
      <c r="F116" s="8">
        <f>(Original!F116-Original!F$125)/Original!F$126</f>
        <v>-0.71864907236524667</v>
      </c>
      <c r="G116" s="8">
        <f>(Original!G116-Original!G$125)/Original!G$126</f>
        <v>-9.0033692384578978E-2</v>
      </c>
      <c r="H116" s="8">
        <f>(Original!H116-Original!H$125)/Original!H$126</f>
        <v>-1.726126169428329</v>
      </c>
      <c r="J116" s="6">
        <v>42522</v>
      </c>
      <c r="K116">
        <v>-0.3879509453629168</v>
      </c>
      <c r="L116">
        <v>2.2957352679806462</v>
      </c>
      <c r="M116">
        <v>-0.28986510375302721</v>
      </c>
      <c r="N116"/>
      <c r="O116"/>
      <c r="P116"/>
      <c r="Q116"/>
    </row>
    <row r="117" spans="1:17">
      <c r="A117" s="6">
        <v>42552</v>
      </c>
      <c r="B117" s="8">
        <f>(Original!B117-Original!B$125)/Original!B$126</f>
        <v>0.71324773686045395</v>
      </c>
      <c r="C117" s="8">
        <f>(Original!C117-Original!C$125)/Original!C$126</f>
        <v>1.1627899876778673</v>
      </c>
      <c r="D117" s="8">
        <f>(Original!D117-Original!D$125)/Original!D$126</f>
        <v>-1.1862109113432286</v>
      </c>
      <c r="E117" s="8">
        <f>(Original!E117-Original!E$125)/Original!E$126</f>
        <v>-0.52132476793979299</v>
      </c>
      <c r="F117" s="8">
        <f>(Original!F117-Original!F$125)/Original!F$126</f>
        <v>0.13738415157021661</v>
      </c>
      <c r="G117" s="8">
        <f>(Original!G117-Original!G$125)/Original!G$126</f>
        <v>0.69574545283528288</v>
      </c>
      <c r="H117" s="8">
        <f>(Original!H117-Original!H$125)/Original!H$126</f>
        <v>0.12333181522957747</v>
      </c>
      <c r="J117" s="6">
        <v>42552</v>
      </c>
      <c r="K117">
        <v>9.1953216191416345E-2</v>
      </c>
      <c r="L117">
        <v>-1.3361210978763625</v>
      </c>
      <c r="M117">
        <v>-1.0840189533070572</v>
      </c>
      <c r="N117"/>
      <c r="O117"/>
      <c r="P117"/>
      <c r="Q117"/>
    </row>
    <row r="118" spans="1:17">
      <c r="A118" s="6">
        <v>42583</v>
      </c>
      <c r="B118" s="8">
        <f>(Original!B118-Original!B$125)/Original!B$126</f>
        <v>-9.0746984727366579E-3</v>
      </c>
      <c r="C118" s="8">
        <f>(Original!C118-Original!C$125)/Original!C$126</f>
        <v>-0.18646958760994259</v>
      </c>
      <c r="D118" s="8">
        <f>(Original!D118-Original!D$125)/Original!D$126</f>
        <v>-0.35089174538701662</v>
      </c>
      <c r="E118" s="8">
        <f>(Original!E118-Original!E$125)/Original!E$126</f>
        <v>-0.28075290615351184</v>
      </c>
      <c r="F118" s="8">
        <f>(Original!F118-Original!F$125)/Original!F$126</f>
        <v>0.55716673194950572</v>
      </c>
      <c r="G118" s="8">
        <f>(Original!G118-Original!G$125)/Original!G$126</f>
        <v>-0.13827267441678415</v>
      </c>
      <c r="H118" s="8">
        <f>(Original!H118-Original!H$125)/Original!H$126</f>
        <v>0.92576068746426765</v>
      </c>
      <c r="J118" s="6">
        <v>42583</v>
      </c>
      <c r="K118">
        <v>2.7829396260915101E-2</v>
      </c>
      <c r="L118">
        <v>-0.95863542136218938</v>
      </c>
      <c r="M118">
        <v>0.53231000351265578</v>
      </c>
      <c r="N118"/>
      <c r="O118"/>
      <c r="P118"/>
      <c r="Q118"/>
    </row>
    <row r="119" spans="1:17">
      <c r="A119" s="6">
        <v>42614</v>
      </c>
      <c r="B119" s="8">
        <f>(Original!B119-Original!B$125)/Original!B$126</f>
        <v>0.44613601404694203</v>
      </c>
      <c r="C119" s="8">
        <f>(Original!C119-Original!C$125)/Original!C$126</f>
        <v>-1.6051583654949861E-4</v>
      </c>
      <c r="D119" s="8">
        <f>(Original!D119-Original!D$125)/Original!D$126</f>
        <v>-6.0357742119580275E-2</v>
      </c>
      <c r="E119" s="8">
        <f>(Original!E119-Original!E$125)/Original!E$126</f>
        <v>0.25160873841281933</v>
      </c>
      <c r="F119" s="8">
        <f>(Original!F119-Original!F$125)/Original!F$126</f>
        <v>-0.48618200251256788</v>
      </c>
      <c r="G119" s="8">
        <f>(Original!G119-Original!G$125)/Original!G$126</f>
        <v>-0.13861706305438429</v>
      </c>
      <c r="H119" s="8">
        <f>(Original!H119-Original!H$125)/Original!H$126</f>
        <v>-0.15691550978703131</v>
      </c>
      <c r="J119" s="6">
        <v>42614</v>
      </c>
      <c r="K119">
        <v>-0.20567083665563315</v>
      </c>
      <c r="L119">
        <v>0.31875652930558146</v>
      </c>
      <c r="M119">
        <v>6.3480785055232886E-2</v>
      </c>
      <c r="N119"/>
      <c r="O119"/>
      <c r="P119"/>
      <c r="Q119"/>
    </row>
    <row r="120" spans="1:17">
      <c r="A120" s="6">
        <v>42646</v>
      </c>
      <c r="B120" s="8">
        <f>(Original!B120-Original!B$125)/Original!B$126</f>
        <v>-0.21918270814961369</v>
      </c>
      <c r="C120" s="8">
        <f>(Original!C120-Original!C$125)/Original!C$126</f>
        <v>-4.8161088634702386E-2</v>
      </c>
      <c r="D120" s="8">
        <f>(Original!D120-Original!D$125)/Original!D$126</f>
        <v>-1.0638621893251554</v>
      </c>
      <c r="E120" s="8">
        <f>(Original!E120-Original!E$125)/Original!E$126</f>
        <v>0.15881790462596587</v>
      </c>
      <c r="F120" s="8">
        <f>(Original!F120-Original!F$125)/Original!F$126</f>
        <v>0.99247670639674268</v>
      </c>
      <c r="G120" s="8">
        <f>(Original!G120-Original!G$125)/Original!G$126</f>
        <v>-0.55056949288999701</v>
      </c>
      <c r="H120" s="8">
        <f>(Original!H120-Original!H$125)/Original!H$126</f>
        <v>0.88255281108415151</v>
      </c>
      <c r="J120" s="6">
        <v>42646</v>
      </c>
      <c r="K120">
        <v>-6.5408072659779465E-2</v>
      </c>
      <c r="L120">
        <v>-1.2742190334637979</v>
      </c>
      <c r="M120">
        <v>0.3313685158319063</v>
      </c>
      <c r="N120"/>
      <c r="O120"/>
      <c r="P120"/>
      <c r="Q120"/>
    </row>
    <row r="121" spans="1:17">
      <c r="A121" s="6">
        <v>42675</v>
      </c>
      <c r="B121" s="8">
        <f>(Original!B121-Original!B$125)/Original!B$126</f>
        <v>-0.50126916157499479</v>
      </c>
      <c r="C121" s="8">
        <f>(Original!C121-Original!C$125)/Original!C$126</f>
        <v>-0.56252721324670651</v>
      </c>
      <c r="D121" s="8">
        <f>(Original!D121-Original!D$125)/Original!D$126</f>
        <v>1.1238902897022645</v>
      </c>
      <c r="E121" s="8">
        <f>(Original!E121-Original!E$125)/Original!E$126</f>
        <v>1.1383529818314824</v>
      </c>
      <c r="F121" s="8">
        <f>(Original!F121-Original!F$125)/Original!F$126</f>
        <v>0.35703491883084076</v>
      </c>
      <c r="G121" s="8">
        <f>(Original!G121-Original!G$125)/Original!G$126</f>
        <v>0.66324260961191817</v>
      </c>
      <c r="H121" s="8">
        <f>(Original!H121-Original!H$125)/Original!H$126</f>
        <v>2.6198895190775677</v>
      </c>
      <c r="J121" s="6">
        <v>42675</v>
      </c>
      <c r="K121">
        <v>1.9301626360801989</v>
      </c>
      <c r="L121">
        <v>-0.51847821924176229</v>
      </c>
      <c r="M121">
        <v>2.4856667398098193</v>
      </c>
      <c r="N121"/>
      <c r="O121"/>
      <c r="P121"/>
      <c r="Q121"/>
    </row>
    <row r="122" spans="1:17">
      <c r="A122" s="6">
        <v>42705</v>
      </c>
      <c r="B122" s="8">
        <f>(Original!B122-Original!B$125)/Original!B$126</f>
        <v>0.25526163549929282</v>
      </c>
      <c r="C122" s="8">
        <f>(Original!C122-Original!C$125)/Original!C$126</f>
        <v>5.7459243761240821E-2</v>
      </c>
      <c r="D122" s="8">
        <f>(Original!D122-Original!D$125)/Original!D$126</f>
        <v>0.62960238868846219</v>
      </c>
      <c r="E122" s="8">
        <f>(Original!E122-Original!E$125)/Original!E$126</f>
        <v>0.78919331466406062</v>
      </c>
      <c r="F122" s="8">
        <f>(Original!F122-Original!F$125)/Original!F$126</f>
        <v>0.91933156764835011</v>
      </c>
      <c r="G122" s="8">
        <f>(Original!G122-Original!G$125)/Original!G$126</f>
        <v>0.30150622302326763</v>
      </c>
      <c r="H122" s="8">
        <f>(Original!H122-Original!H$125)/Original!H$126</f>
        <v>0.34144073826314042</v>
      </c>
      <c r="J122" s="6">
        <v>42705</v>
      </c>
      <c r="K122">
        <v>1.2590090446197575</v>
      </c>
      <c r="L122">
        <v>0.12336412618845971</v>
      </c>
      <c r="M122">
        <v>0.25727785812066134</v>
      </c>
      <c r="N122"/>
      <c r="O122"/>
      <c r="P122"/>
      <c r="Q122"/>
    </row>
    <row r="123" spans="1:17">
      <c r="A123" s="6">
        <v>42738</v>
      </c>
      <c r="B123" s="8">
        <f>(Original!B123-Original!B$125)/Original!B$126</f>
        <v>0.30933750651295061</v>
      </c>
      <c r="C123" s="8">
        <f>(Original!C123-Original!C$125)/Original!C$126</f>
        <v>0.6366076469116978</v>
      </c>
      <c r="D123" s="8">
        <f>(Original!D123-Original!D$125)/Original!D$126</f>
        <v>-1.2188291740761175</v>
      </c>
      <c r="E123" s="8">
        <f>(Original!E123-Original!E$125)/Original!E$126</f>
        <v>-0.70410412411642331</v>
      </c>
      <c r="F123" s="8">
        <f>(Original!F123-Original!F$125)/Original!F$126</f>
        <v>-0.23074079587179286</v>
      </c>
      <c r="G123" s="8">
        <f>(Original!G123-Original!G$125)/Original!G$126</f>
        <v>0.45435783477465769</v>
      </c>
      <c r="H123" s="8">
        <f>(Original!H123-Original!H$125)/Original!H$126</f>
        <v>2.5701348844765397E-3</v>
      </c>
      <c r="J123" s="6">
        <v>42738</v>
      </c>
      <c r="K123">
        <v>-0.49453358471350289</v>
      </c>
      <c r="L123">
        <v>-1.0569357752643485</v>
      </c>
      <c r="M123">
        <v>-0.8150898642885227</v>
      </c>
      <c r="N123"/>
      <c r="O123"/>
      <c r="P123"/>
      <c r="Q123"/>
    </row>
    <row r="124" spans="1:17">
      <c r="A124" s="6"/>
      <c r="B124" s="8"/>
      <c r="C124" s="8"/>
      <c r="D124" s="8"/>
      <c r="E124" s="8"/>
      <c r="F124" s="8"/>
      <c r="G124" s="8"/>
      <c r="H124" s="8"/>
      <c r="J124" s="6"/>
      <c r="K124"/>
      <c r="L124"/>
      <c r="M124"/>
      <c r="N124"/>
      <c r="O124"/>
      <c r="P124"/>
      <c r="Q124"/>
    </row>
    <row r="125" spans="1:17">
      <c r="A125" s="37" t="s">
        <v>23</v>
      </c>
      <c r="B125" s="38">
        <f>AVERAGE(B4:B123)</f>
        <v>-2.3592239273284576E-17</v>
      </c>
      <c r="C125" s="38">
        <f t="shared" ref="C125:H125" si="0">AVERAGE(C4:C123)</f>
        <v>-1.8503717077085942E-18</v>
      </c>
      <c r="D125" s="38">
        <f t="shared" si="0"/>
        <v>6.2912638062092202E-17</v>
      </c>
      <c r="E125" s="38">
        <f t="shared" si="0"/>
        <v>-4.7184478546569152E-17</v>
      </c>
      <c r="F125" s="38">
        <f t="shared" si="0"/>
        <v>5.0885221961986339E-17</v>
      </c>
      <c r="G125" s="38">
        <f t="shared" si="0"/>
        <v>-1.9428902930940238E-17</v>
      </c>
      <c r="H125" s="38">
        <f t="shared" si="0"/>
        <v>-2.0896189871037287E-17</v>
      </c>
      <c r="J125" s="6"/>
      <c r="K125"/>
      <c r="L125"/>
      <c r="M125"/>
      <c r="N125"/>
      <c r="O125"/>
      <c r="P125"/>
      <c r="Q125"/>
    </row>
    <row r="126" spans="1:17">
      <c r="A126" s="37" t="s">
        <v>24</v>
      </c>
      <c r="B126" s="38">
        <f>STDEV(B4:B123)</f>
        <v>1</v>
      </c>
      <c r="C126" s="38">
        <f t="shared" ref="C126:H126" si="1">STDEV(C4:C123)</f>
        <v>1.0000000000000002</v>
      </c>
      <c r="D126" s="38">
        <f t="shared" si="1"/>
        <v>1.0000000000000002</v>
      </c>
      <c r="E126" s="38">
        <f t="shared" si="1"/>
        <v>1</v>
      </c>
      <c r="F126" s="38">
        <f t="shared" si="1"/>
        <v>1.0000000000000002</v>
      </c>
      <c r="G126" s="38">
        <f t="shared" si="1"/>
        <v>1</v>
      </c>
      <c r="H126" s="38">
        <f t="shared" si="1"/>
        <v>1</v>
      </c>
      <c r="J126" s="6"/>
      <c r="K126"/>
      <c r="L126"/>
      <c r="M126"/>
      <c r="N126"/>
      <c r="O126"/>
      <c r="P126"/>
      <c r="Q126"/>
    </row>
    <row r="127" spans="1:17">
      <c r="A127" s="6"/>
      <c r="B127" s="8"/>
      <c r="C127" s="8"/>
      <c r="D127" s="8"/>
      <c r="E127" s="8"/>
      <c r="F127" s="8"/>
      <c r="G127" s="8"/>
      <c r="H127" s="8"/>
      <c r="J127" s="6"/>
      <c r="K127"/>
      <c r="L127"/>
      <c r="M127"/>
      <c r="N127"/>
      <c r="O127"/>
      <c r="P127"/>
      <c r="Q127"/>
    </row>
    <row r="128" spans="1:17">
      <c r="J128" s="7"/>
      <c r="K128"/>
      <c r="L128"/>
      <c r="M128"/>
      <c r="N128"/>
      <c r="O128"/>
      <c r="P128"/>
      <c r="Q128"/>
    </row>
    <row r="129" spans="1:17">
      <c r="B129" s="12" t="s">
        <v>10</v>
      </c>
      <c r="C129" s="13"/>
      <c r="D129" s="13"/>
      <c r="E129" s="13"/>
      <c r="F129" s="13"/>
      <c r="G129" s="13"/>
      <c r="H129" s="14"/>
      <c r="J129" s="26"/>
      <c r="K129"/>
      <c r="L129"/>
      <c r="M129"/>
      <c r="N129"/>
      <c r="O129"/>
      <c r="P129"/>
      <c r="Q129"/>
    </row>
    <row r="130" spans="1:17">
      <c r="B130" s="4" t="s">
        <v>2</v>
      </c>
      <c r="C130" s="4" t="s">
        <v>1</v>
      </c>
      <c r="D130" s="4" t="s">
        <v>3</v>
      </c>
      <c r="E130" s="4" t="s">
        <v>4</v>
      </c>
      <c r="F130" s="4" t="s">
        <v>5</v>
      </c>
      <c r="G130" s="4" t="s">
        <v>6</v>
      </c>
      <c r="H130" s="4" t="s">
        <v>7</v>
      </c>
      <c r="J130" s="4" t="s">
        <v>16</v>
      </c>
      <c r="K130" s="4" t="s">
        <v>17</v>
      </c>
      <c r="L130" s="4" t="s">
        <v>18</v>
      </c>
      <c r="N130" s="23"/>
      <c r="O130"/>
      <c r="P130"/>
      <c r="Q130"/>
    </row>
    <row r="131" spans="1:17">
      <c r="A131" s="4" t="s">
        <v>2</v>
      </c>
      <c r="B131" s="16">
        <f>CORREL($B$4:$B$123,B4:B123)</f>
        <v>1</v>
      </c>
      <c r="C131" s="15">
        <f>CORREL($B$4:$B$123,C4:C123)</f>
        <v>0.56708943078760543</v>
      </c>
      <c r="D131" s="15">
        <f t="shared" ref="D131:H131" si="2">CORREL($B$4:$B$123,D4:D123)</f>
        <v>0.28546721952066606</v>
      </c>
      <c r="E131" s="15">
        <f t="shared" si="2"/>
        <v>0.39123684565665856</v>
      </c>
      <c r="F131" s="15">
        <f t="shared" si="2"/>
        <v>0.3255397154396143</v>
      </c>
      <c r="G131" s="15">
        <f t="shared" si="2"/>
        <v>0.5758626202350472</v>
      </c>
      <c r="H131" s="15">
        <f t="shared" si="2"/>
        <v>0.15640680607926061</v>
      </c>
      <c r="J131" s="27">
        <f>CORREL($B$4:$B$122,K4:K122)</f>
        <v>0.54527867150464215</v>
      </c>
      <c r="K131" s="27">
        <f>CORREL($B$4:$B$122,L4:L122)</f>
        <v>-9.8789950282204261E-2</v>
      </c>
      <c r="L131" s="27">
        <f>CORREL($B$4:$B$122,M4:M122)</f>
        <v>-0.25165578163813412</v>
      </c>
      <c r="N131" s="23"/>
      <c r="O131"/>
      <c r="P131"/>
      <c r="Q131"/>
    </row>
    <row r="132" spans="1:17">
      <c r="A132" s="4" t="s">
        <v>1</v>
      </c>
      <c r="B132" s="15">
        <f>CORREL($C$4:$C$123,B4:B123)</f>
        <v>0.56708943078760543</v>
      </c>
      <c r="C132" s="16">
        <f t="shared" ref="C132:H132" si="3">CORREL($C$4:$C$123,C4:C123)</f>
        <v>1</v>
      </c>
      <c r="D132" s="15">
        <f t="shared" si="3"/>
        <v>0.29512905291035985</v>
      </c>
      <c r="E132" s="15">
        <f t="shared" si="3"/>
        <v>0.35785452417183833</v>
      </c>
      <c r="F132" s="15">
        <f t="shared" si="3"/>
        <v>0.39666486699722092</v>
      </c>
      <c r="G132" s="15">
        <f t="shared" si="3"/>
        <v>0.56636131473120965</v>
      </c>
      <c r="H132" s="15">
        <f t="shared" si="3"/>
        <v>0.24777513544286278</v>
      </c>
      <c r="J132" s="15">
        <f>CORREL($C$4:$C$122,K4:K122)</f>
        <v>0.65644573777741255</v>
      </c>
      <c r="K132" s="15">
        <f>CORREL($C$4:$C$122,L4:L122)</f>
        <v>-0.33324217082693142</v>
      </c>
      <c r="L132" s="15">
        <f>CORREL($C$4:$C$122,M4:M122)</f>
        <v>-0.43826411548983985</v>
      </c>
      <c r="M132" s="35"/>
      <c r="N132" s="23"/>
      <c r="O132"/>
      <c r="P132"/>
      <c r="Q132"/>
    </row>
    <row r="133" spans="1:17">
      <c r="A133" s="4" t="s">
        <v>3</v>
      </c>
      <c r="B133" s="15">
        <f>CORREL($D$4:$D$123,B4:B123)</f>
        <v>0.28546721952066606</v>
      </c>
      <c r="C133" s="15">
        <f t="shared" ref="C133:H133" si="4">CORREL($D$4:$D$123,C4:C123)</f>
        <v>0.29512905291035985</v>
      </c>
      <c r="D133" s="16">
        <f t="shared" si="4"/>
        <v>1.0000000000000002</v>
      </c>
      <c r="E133" s="15">
        <f t="shared" si="4"/>
        <v>0.79531842764736704</v>
      </c>
      <c r="F133" s="15">
        <f t="shared" si="4"/>
        <v>0.34379095606873245</v>
      </c>
      <c r="G133" s="15">
        <f t="shared" si="4"/>
        <v>0.54761377107577691</v>
      </c>
      <c r="H133" s="15">
        <f t="shared" si="4"/>
        <v>0.19003959997516653</v>
      </c>
      <c r="J133" s="15">
        <f>CORREL($D$4:$D$122,K4:K122)</f>
        <v>0.77317191441058308</v>
      </c>
      <c r="K133" s="15">
        <f>CORREL($D$4:$D$122,L4:L122)</f>
        <v>0.48797299355234325</v>
      </c>
      <c r="L133" s="15">
        <f>CORREL($D$4:$D$122,M4:M122)</f>
        <v>0.21803218458881146</v>
      </c>
      <c r="M133" s="35"/>
      <c r="N133" s="23"/>
      <c r="O133"/>
      <c r="P133"/>
      <c r="Q133"/>
    </row>
    <row r="134" spans="1:17">
      <c r="A134" s="4" t="s">
        <v>4</v>
      </c>
      <c r="B134" s="15">
        <f>CORREL($E$4:$E$123,B4:B123)</f>
        <v>0.39123684565665856</v>
      </c>
      <c r="C134" s="15">
        <f t="shared" ref="C134:H134" si="5">CORREL($E$4:$E$123,C4:C123)</f>
        <v>0.35785452417183833</v>
      </c>
      <c r="D134" s="15">
        <f t="shared" si="5"/>
        <v>0.79531842764736704</v>
      </c>
      <c r="E134" s="16">
        <f t="shared" si="5"/>
        <v>1.0000000000000002</v>
      </c>
      <c r="F134" s="15">
        <f t="shared" si="5"/>
        <v>0.40196876681340465</v>
      </c>
      <c r="G134" s="15">
        <f t="shared" si="5"/>
        <v>0.64237499452458091</v>
      </c>
      <c r="H134" s="15">
        <f t="shared" si="5"/>
        <v>0.23605161068659844</v>
      </c>
      <c r="J134" s="15">
        <f>CORREL($E$4:$E$122,K4:K122)</f>
        <v>0.83380503915636095</v>
      </c>
      <c r="K134" s="15">
        <f>CORREL($E$4:$E$122,L4:L122)</f>
        <v>0.40105457317741905</v>
      </c>
      <c r="L134" s="15">
        <f>CORREL($E$4:$E$122,M4:M122)</f>
        <v>0.17121999438781613</v>
      </c>
      <c r="M134" s="35"/>
      <c r="N134" s="23"/>
      <c r="O134"/>
      <c r="P134"/>
      <c r="Q134"/>
    </row>
    <row r="135" spans="1:17">
      <c r="A135" s="4" t="s">
        <v>5</v>
      </c>
      <c r="B135" s="15">
        <f>CORREL($F$4:$F$123,B4:B123)</f>
        <v>0.3255397154396143</v>
      </c>
      <c r="C135" s="15">
        <f t="shared" ref="C135:H135" si="6">CORREL($F$4:$F$123,C4:C123)</f>
        <v>0.39666486699722092</v>
      </c>
      <c r="D135" s="15">
        <f t="shared" si="6"/>
        <v>0.34379095606873245</v>
      </c>
      <c r="E135" s="15">
        <f t="shared" si="6"/>
        <v>0.40196876681340465</v>
      </c>
      <c r="F135" s="16">
        <f t="shared" si="6"/>
        <v>1.0000000000000002</v>
      </c>
      <c r="G135" s="15">
        <f t="shared" si="6"/>
        <v>0.58552985028164095</v>
      </c>
      <c r="H135" s="15">
        <f t="shared" si="6"/>
        <v>0.29089458472398477</v>
      </c>
      <c r="J135" s="15">
        <f>CORREL($F$4:$F$122,K4:K122)</f>
        <v>0.69666965081949217</v>
      </c>
      <c r="K135" s="15">
        <f>CORREL($F$4:$F$122,L4:L122)</f>
        <v>-0.30028686696071111</v>
      </c>
      <c r="L135" s="15">
        <f>CORREL($F$4:$F$122,M4:M122)</f>
        <v>-0.20789201787434167</v>
      </c>
      <c r="M135" s="35"/>
      <c r="N135" s="23"/>
      <c r="O135"/>
      <c r="P135"/>
      <c r="Q135"/>
    </row>
    <row r="136" spans="1:17">
      <c r="A136" s="4" t="s">
        <v>6</v>
      </c>
      <c r="B136" s="15">
        <f>CORREL($G$4:$G$123,B4:B123)</f>
        <v>0.5758626202350472</v>
      </c>
      <c r="C136" s="15">
        <f t="shared" ref="C136:H136" si="7">CORREL($G$4:$G$123,C4:C123)</f>
        <v>0.56636131473120965</v>
      </c>
      <c r="D136" s="15">
        <f t="shared" si="7"/>
        <v>0.54761377107577691</v>
      </c>
      <c r="E136" s="15">
        <f t="shared" si="7"/>
        <v>0.64237499452458091</v>
      </c>
      <c r="F136" s="15">
        <f t="shared" si="7"/>
        <v>0.58552985028164095</v>
      </c>
      <c r="G136" s="16">
        <f t="shared" si="7"/>
        <v>1.0000000000000002</v>
      </c>
      <c r="H136" s="15">
        <f t="shared" si="7"/>
        <v>0.27147785129613472</v>
      </c>
      <c r="J136" s="15">
        <f>CORREL($G$4:$G$122,K4:K122)</f>
        <v>0.86743453569568074</v>
      </c>
      <c r="K136" s="15">
        <f>CORREL($G$4:$G$122,L4:L122)</f>
        <v>-2.2899196836012992E-2</v>
      </c>
      <c r="L136" s="15">
        <f>CORREL($G$4:$G$122,M4:M122)</f>
        <v>-0.20079746723726563</v>
      </c>
      <c r="M136" s="35"/>
      <c r="N136" s="23"/>
      <c r="O136"/>
      <c r="P136"/>
      <c r="Q136"/>
    </row>
    <row r="137" spans="1:17">
      <c r="A137" s="22" t="s">
        <v>7</v>
      </c>
      <c r="B137" s="28">
        <f>CORREL($H$4:$H$123,B4:B123)</f>
        <v>0.15640680607926061</v>
      </c>
      <c r="C137" s="28">
        <f t="shared" ref="C137:H137" si="8">CORREL($H$4:$H$123,C4:C123)</f>
        <v>0.24777513544286278</v>
      </c>
      <c r="D137" s="28">
        <f t="shared" si="8"/>
        <v>0.19003959997516653</v>
      </c>
      <c r="E137" s="28">
        <f t="shared" si="8"/>
        <v>0.23605161068659844</v>
      </c>
      <c r="F137" s="28">
        <f t="shared" si="8"/>
        <v>0.29089458472398477</v>
      </c>
      <c r="G137" s="28">
        <f t="shared" si="8"/>
        <v>0.27147785129613472</v>
      </c>
      <c r="H137" s="29">
        <f t="shared" si="8"/>
        <v>1</v>
      </c>
      <c r="J137" s="28">
        <f>CORREL($H$4:$H$122,K4:K122)</f>
        <v>0.43991901657124272</v>
      </c>
      <c r="K137" s="28">
        <f>CORREL($H$4:$H$122,L4:L122)</f>
        <v>-0.61147280673780502</v>
      </c>
      <c r="L137" s="28">
        <f>CORREL($H$4:$H$122,M4:M122)</f>
        <v>0.65513369062896742</v>
      </c>
      <c r="M137" s="35"/>
      <c r="N137" s="23"/>
      <c r="O137"/>
      <c r="P137"/>
      <c r="Q137"/>
    </row>
    <row r="138" spans="1:17" s="23" customFormat="1">
      <c r="A138" s="24"/>
      <c r="B138" s="34"/>
      <c r="C138" s="34"/>
      <c r="D138" s="34"/>
      <c r="E138" s="34"/>
      <c r="F138" s="34"/>
      <c r="G138" s="34"/>
      <c r="H138" s="34"/>
      <c r="J138" s="24"/>
      <c r="K138" s="24"/>
      <c r="L138" s="24"/>
      <c r="M138" s="24"/>
    </row>
    <row r="139" spans="1:17" s="23" customFormat="1">
      <c r="A139" s="21" t="s">
        <v>16</v>
      </c>
      <c r="B139" s="34">
        <v>0.20298450858269634</v>
      </c>
      <c r="C139" s="34">
        <v>0.11871697071389117</v>
      </c>
      <c r="D139" s="34">
        <v>0.1301581187286194</v>
      </c>
      <c r="E139" s="34">
        <v>6.8186597745717323E-2</v>
      </c>
      <c r="F139" s="34">
        <v>0.13477274812028767</v>
      </c>
      <c r="G139" s="34">
        <v>0.29158176078203085</v>
      </c>
      <c r="H139" s="34">
        <v>5.3638702466806416E-2</v>
      </c>
      <c r="J139" s="36">
        <f>CORREL($K$4:$K$122,K4:K122)</f>
        <v>1</v>
      </c>
      <c r="K139" s="36">
        <f t="shared" ref="K139:L139" si="9">CORREL($K$4:$K$122,L4:L122)</f>
        <v>-2.5367099327810675E-3</v>
      </c>
      <c r="L139" s="36">
        <f t="shared" si="9"/>
        <v>-2.1818826799302866E-3</v>
      </c>
      <c r="M139" s="24"/>
    </row>
    <row r="140" spans="1:17" s="23" customFormat="1">
      <c r="A140" s="21" t="s">
        <v>17</v>
      </c>
      <c r="B140" s="23">
        <v>-1.7715961182339732E-2</v>
      </c>
      <c r="C140" s="34">
        <v>-5.1964933344065926E-2</v>
      </c>
      <c r="D140" s="34">
        <v>8.8188252644686424E-2</v>
      </c>
      <c r="E140" s="34">
        <v>-1.9701252799484495E-2</v>
      </c>
      <c r="F140" s="34">
        <v>-8.7998921394799312E-2</v>
      </c>
      <c r="G140" s="34">
        <v>-8.3597093114471596E-3</v>
      </c>
      <c r="H140" s="34">
        <v>-1.8311198714060711E-2</v>
      </c>
      <c r="J140" s="36">
        <f>CORREL($L$4:$L$122,K4:K122)</f>
        <v>-2.5367099327810675E-3</v>
      </c>
      <c r="K140" s="36">
        <f t="shared" ref="K140:L140" si="10">CORREL($L$4:$L$122,L4:L122)</f>
        <v>1</v>
      </c>
      <c r="L140" s="36">
        <f t="shared" si="10"/>
        <v>-8.3907490674448495E-3</v>
      </c>
      <c r="M140" s="24"/>
    </row>
    <row r="141" spans="1:17" s="23" customFormat="1">
      <c r="A141" s="21" t="s">
        <v>18</v>
      </c>
      <c r="B141" s="34">
        <v>-4.5636689042280784E-2</v>
      </c>
      <c r="C141" s="34">
        <v>8.1945515040132994E-3</v>
      </c>
      <c r="D141" s="34">
        <v>-3.9925563850599305E-3</v>
      </c>
      <c r="E141" s="34">
        <v>-2.1823837914667727E-3</v>
      </c>
      <c r="F141" s="34">
        <v>-1.496764968096542E-3</v>
      </c>
      <c r="G141" s="34">
        <v>2.6488282514473652E-5</v>
      </c>
      <c r="H141" s="34">
        <v>6.9544924879820696E-2</v>
      </c>
      <c r="J141" s="36">
        <f>CORREL($M$4:$M$122,K4:K122)</f>
        <v>-2.1818826799302866E-3</v>
      </c>
      <c r="K141" s="36">
        <f t="shared" ref="K141:L141" si="11">CORREL($M$4:$M$122,L4:L122)</f>
        <v>-8.3907490674448495E-3</v>
      </c>
      <c r="L141" s="36">
        <f t="shared" si="11"/>
        <v>0.99999999999999989</v>
      </c>
      <c r="M141" s="24"/>
    </row>
    <row r="142" spans="1:17">
      <c r="A142" s="24"/>
      <c r="B142" s="24"/>
      <c r="C142" s="24"/>
      <c r="D142" s="24"/>
      <c r="E142" s="24"/>
      <c r="F142" s="24"/>
      <c r="G142" s="24"/>
      <c r="H142" s="24"/>
    </row>
    <row r="143" spans="1:17">
      <c r="A143" s="30"/>
      <c r="B143" s="31" t="s">
        <v>11</v>
      </c>
      <c r="C143" s="32"/>
      <c r="D143" s="32"/>
      <c r="E143" s="32"/>
      <c r="F143" s="32"/>
      <c r="G143" s="32"/>
      <c r="H143" s="33"/>
    </row>
    <row r="144" spans="1:17">
      <c r="B144" s="4" t="s">
        <v>2</v>
      </c>
      <c r="C144" s="4" t="s">
        <v>1</v>
      </c>
      <c r="D144" s="4" t="s">
        <v>3</v>
      </c>
      <c r="E144" s="4" t="s">
        <v>4</v>
      </c>
      <c r="F144" s="4" t="s">
        <v>5</v>
      </c>
      <c r="G144" s="4" t="s">
        <v>6</v>
      </c>
      <c r="H144" s="4" t="s">
        <v>7</v>
      </c>
    </row>
    <row r="145" spans="1:10">
      <c r="A145" s="4" t="s">
        <v>2</v>
      </c>
      <c r="B145" s="17">
        <f>COVAR($B$4:$B$123,B4:B123)</f>
        <v>0.99166666666666692</v>
      </c>
      <c r="C145" s="17">
        <f t="shared" ref="C145:H145" si="12">COVAR($B$4:$B$123,C4:C123)</f>
        <v>0.56236368553104221</v>
      </c>
      <c r="D145" s="17">
        <f t="shared" si="12"/>
        <v>0.28308832602466061</v>
      </c>
      <c r="E145" s="17">
        <f t="shared" si="12"/>
        <v>0.38797653860951981</v>
      </c>
      <c r="F145" s="17">
        <f t="shared" si="12"/>
        <v>0.32282688447761759</v>
      </c>
      <c r="G145" s="17">
        <f t="shared" si="12"/>
        <v>0.57106376506642187</v>
      </c>
      <c r="H145" s="17">
        <f t="shared" si="12"/>
        <v>0.15510341602860014</v>
      </c>
    </row>
    <row r="146" spans="1:10">
      <c r="A146" s="4" t="s">
        <v>1</v>
      </c>
      <c r="B146" s="17">
        <f>COVAR($C$4:$C$123,B4:B123)</f>
        <v>0.56236368553104221</v>
      </c>
      <c r="C146" s="17">
        <f t="shared" ref="C146:H146" si="13">COVAR($C$4:$C$123,C4:C123)</f>
        <v>0.99166666666666714</v>
      </c>
      <c r="D146" s="17">
        <f t="shared" si="13"/>
        <v>0.29266964413610697</v>
      </c>
      <c r="E146" s="17">
        <f t="shared" si="13"/>
        <v>0.35487240313707308</v>
      </c>
      <c r="F146" s="17">
        <f t="shared" si="13"/>
        <v>0.39335932643891092</v>
      </c>
      <c r="G146" s="17">
        <f t="shared" si="13"/>
        <v>0.56164163710844961</v>
      </c>
      <c r="H146" s="17">
        <f t="shared" si="13"/>
        <v>0.24571034264750569</v>
      </c>
    </row>
    <row r="147" spans="1:10">
      <c r="A147" s="4" t="s">
        <v>3</v>
      </c>
      <c r="B147" s="17">
        <f>COVAR($D$4:$D$123,B4:B123)</f>
        <v>0.28308832602466061</v>
      </c>
      <c r="C147" s="17">
        <f t="shared" ref="C147:H147" si="14">COVAR($D$4:$D$123,C4:C123)</f>
        <v>0.29266964413610697</v>
      </c>
      <c r="D147" s="17">
        <f t="shared" si="14"/>
        <v>0.99166666666666703</v>
      </c>
      <c r="E147" s="17">
        <f t="shared" si="14"/>
        <v>0.78869077408363908</v>
      </c>
      <c r="F147" s="17">
        <f t="shared" si="14"/>
        <v>0.34092603143482642</v>
      </c>
      <c r="G147" s="17">
        <f t="shared" si="14"/>
        <v>0.54305032298347877</v>
      </c>
      <c r="H147" s="17">
        <f t="shared" si="14"/>
        <v>0.18845593664204019</v>
      </c>
    </row>
    <row r="148" spans="1:10">
      <c r="A148" s="4" t="s">
        <v>4</v>
      </c>
      <c r="B148" s="17">
        <f>COVAR($E$4:$E$123,B4:B123)</f>
        <v>0.38797653860951981</v>
      </c>
      <c r="C148" s="17">
        <f t="shared" ref="C148:H148" si="15">COVAR($E$4:$E$123,C4:C123)</f>
        <v>0.35487240313707308</v>
      </c>
      <c r="D148" s="17">
        <f t="shared" si="15"/>
        <v>0.78869077408363908</v>
      </c>
      <c r="E148" s="17">
        <f t="shared" si="15"/>
        <v>0.99166666666666681</v>
      </c>
      <c r="F148" s="17">
        <f t="shared" si="15"/>
        <v>0.39861902708995967</v>
      </c>
      <c r="G148" s="17">
        <f t="shared" si="15"/>
        <v>0.63702186957020934</v>
      </c>
      <c r="H148" s="17">
        <f t="shared" si="15"/>
        <v>0.23408451393087681</v>
      </c>
    </row>
    <row r="149" spans="1:10">
      <c r="A149" s="4" t="s">
        <v>5</v>
      </c>
      <c r="B149" s="17">
        <f>COVAR($F$4:$F$123,B4:B123)</f>
        <v>0.32282688447761759</v>
      </c>
      <c r="C149" s="17">
        <f t="shared" ref="C149:H149" si="16">COVAR($F$4:$F$123,C4:C123)</f>
        <v>0.39335932643891092</v>
      </c>
      <c r="D149" s="17">
        <f t="shared" si="16"/>
        <v>0.34092603143482642</v>
      </c>
      <c r="E149" s="17">
        <f t="shared" si="16"/>
        <v>0.39861902708995967</v>
      </c>
      <c r="F149" s="17">
        <f t="shared" si="16"/>
        <v>0.99166666666666703</v>
      </c>
      <c r="G149" s="17">
        <f t="shared" si="16"/>
        <v>0.58065043486262724</v>
      </c>
      <c r="H149" s="17">
        <f t="shared" si="16"/>
        <v>0.28847046318461833</v>
      </c>
    </row>
    <row r="150" spans="1:10">
      <c r="A150" s="4" t="s">
        <v>6</v>
      </c>
      <c r="B150" s="17">
        <f>COVAR($G$4:$G$123,B4:B123)</f>
        <v>0.57106376506642187</v>
      </c>
      <c r="C150" s="17">
        <f t="shared" ref="C150:H150" si="17">COVAR($G$4:$G$123,C4:C123)</f>
        <v>0.56164163710844961</v>
      </c>
      <c r="D150" s="17">
        <f t="shared" si="17"/>
        <v>0.54305032298347877</v>
      </c>
      <c r="E150" s="17">
        <f t="shared" si="17"/>
        <v>0.63702186957020934</v>
      </c>
      <c r="F150" s="17">
        <f t="shared" si="17"/>
        <v>0.58065043486262724</v>
      </c>
      <c r="G150" s="17">
        <f t="shared" si="17"/>
        <v>0.99166666666666659</v>
      </c>
      <c r="H150" s="17">
        <f t="shared" si="17"/>
        <v>0.26921553586866692</v>
      </c>
    </row>
    <row r="151" spans="1:10">
      <c r="A151" s="4" t="s">
        <v>7</v>
      </c>
      <c r="B151" s="17">
        <f>COVAR($H$4:$H$123,B4:B123)</f>
        <v>0.15510341602860014</v>
      </c>
      <c r="C151" s="17">
        <f t="shared" ref="C151:H151" si="18">COVAR($H$4:$H$123,C4:C123)</f>
        <v>0.24571034264750569</v>
      </c>
      <c r="D151" s="17">
        <f t="shared" si="18"/>
        <v>0.18845593664204019</v>
      </c>
      <c r="E151" s="17">
        <f t="shared" si="18"/>
        <v>0.23408451393087681</v>
      </c>
      <c r="F151" s="17">
        <f t="shared" si="18"/>
        <v>0.28847046318461833</v>
      </c>
      <c r="G151" s="17">
        <f t="shared" si="18"/>
        <v>0.26921553586866692</v>
      </c>
      <c r="H151" s="17">
        <f t="shared" si="18"/>
        <v>0.99166666666666692</v>
      </c>
    </row>
    <row r="153" spans="1:10">
      <c r="A153" s="7" t="s">
        <v>12</v>
      </c>
      <c r="B153" s="9" t="s">
        <v>13</v>
      </c>
      <c r="C153" s="10"/>
      <c r="D153" s="10"/>
      <c r="E153" s="10"/>
      <c r="F153" s="10"/>
      <c r="G153" s="10"/>
      <c r="H153" s="11"/>
      <c r="I153" s="20" t="s">
        <v>14</v>
      </c>
    </row>
    <row r="154" spans="1:10">
      <c r="A154" s="19">
        <f t="array" ref="A154:G159">eigen(C146:H151)</f>
        <v>3.1176655854641098</v>
      </c>
      <c r="B154" s="19">
        <v>0.36861932666424779</v>
      </c>
      <c r="C154" s="19">
        <v>-0.34026391213510326</v>
      </c>
      <c r="D154" s="19">
        <v>-0.49740630400149038</v>
      </c>
      <c r="E154" s="19">
        <v>0.62220467348050812</v>
      </c>
      <c r="F154" s="19">
        <v>0.334499019194341</v>
      </c>
      <c r="G154" s="19">
        <v>-4.3577302632519549E-2</v>
      </c>
      <c r="H154" s="19"/>
      <c r="I154" s="3">
        <f>A154/SUM($A$154:$A$159)</f>
        <v>0.52397740932169889</v>
      </c>
      <c r="J154" s="25"/>
    </row>
    <row r="155" spans="1:10">
      <c r="A155" s="19">
        <v>0.97168662259547744</v>
      </c>
      <c r="B155" s="19">
        <v>0.43478637891392891</v>
      </c>
      <c r="C155" s="19">
        <v>0.49862057729774495</v>
      </c>
      <c r="D155" s="19">
        <v>0.25425897936758496</v>
      </c>
      <c r="E155" s="19">
        <v>6.9176225400284244E-2</v>
      </c>
      <c r="F155" s="19">
        <v>0.35629984609188786</v>
      </c>
      <c r="G155" s="19">
        <v>0.60494277872489477</v>
      </c>
      <c r="H155" s="19"/>
      <c r="I155" s="3">
        <f t="shared" ref="I155:I159" si="19">A155/SUM($A$154:$A$159)</f>
        <v>0.16330867606646673</v>
      </c>
      <c r="J155" s="25"/>
    </row>
    <row r="156" spans="1:10">
      <c r="A156" s="19">
        <v>0.77915845109816229</v>
      </c>
      <c r="B156" s="19">
        <v>0.47004914462932962</v>
      </c>
      <c r="C156" s="19">
        <v>0.40878313739017397</v>
      </c>
      <c r="D156" s="19">
        <v>0.19825492060571781</v>
      </c>
      <c r="E156" s="19">
        <v>6.0787183837953555E-2</v>
      </c>
      <c r="F156" s="19">
        <v>-1.8665625111016649E-2</v>
      </c>
      <c r="G156" s="19">
        <v>-0.7540567932155825</v>
      </c>
      <c r="H156" s="19"/>
      <c r="I156" s="3">
        <f t="shared" si="19"/>
        <v>0.13095100018456504</v>
      </c>
      <c r="J156" s="25"/>
    </row>
    <row r="157" spans="1:10">
      <c r="A157" s="19">
        <v>0.59058707029043733</v>
      </c>
      <c r="B157" s="19">
        <v>0.39300115175559114</v>
      </c>
      <c r="C157" s="19">
        <v>-0.29971228407184086</v>
      </c>
      <c r="D157" s="19">
        <v>-0.23161214856879056</v>
      </c>
      <c r="E157" s="19">
        <v>-0.76599128855442611</v>
      </c>
      <c r="F157" s="19">
        <v>0.33613587976252035</v>
      </c>
      <c r="G157" s="19">
        <v>-4.8461018618820212E-2</v>
      </c>
      <c r="H157" s="19"/>
      <c r="I157" s="3">
        <f t="shared" si="19"/>
        <v>9.9258331141249934E-2</v>
      </c>
      <c r="J157" s="25"/>
    </row>
    <row r="158" spans="1:10">
      <c r="A158" s="19">
        <v>0.30176161773035237</v>
      </c>
      <c r="B158" s="19">
        <v>0.48802579596013207</v>
      </c>
      <c r="C158" s="19">
        <v>-2.7154375059709208E-2</v>
      </c>
      <c r="D158" s="19">
        <v>-0.22951492926254174</v>
      </c>
      <c r="E158" s="19">
        <v>-3.7979768741136816E-2</v>
      </c>
      <c r="F158" s="19">
        <v>-0.80402831479705417</v>
      </c>
      <c r="G158" s="19">
        <v>0.24599261332240321</v>
      </c>
      <c r="H158" s="19"/>
      <c r="I158" s="3">
        <f t="shared" si="19"/>
        <v>5.0716238274008785E-2</v>
      </c>
      <c r="J158" s="25"/>
    </row>
    <row r="159" spans="1:10">
      <c r="A159" s="19">
        <v>0.18914065282146314</v>
      </c>
      <c r="B159" s="19">
        <v>0.2480228125596588</v>
      </c>
      <c r="C159" s="19">
        <v>-0.61475972808145229</v>
      </c>
      <c r="D159" s="19">
        <v>0.7364190630932298</v>
      </c>
      <c r="E159" s="19">
        <v>0.12726270248793836</v>
      </c>
      <c r="F159" s="19">
        <v>-3.6926408070937583E-2</v>
      </c>
      <c r="G159" s="19">
        <v>2.6129860974558959E-2</v>
      </c>
      <c r="H159" s="19"/>
      <c r="I159" s="3">
        <f t="shared" si="19"/>
        <v>3.1788345012010603E-2</v>
      </c>
      <c r="J159" s="25"/>
    </row>
    <row r="160" spans="1:10">
      <c r="A160" s="19"/>
      <c r="B160" s="19"/>
      <c r="C160" s="19"/>
      <c r="D160" s="19"/>
      <c r="E160" s="19"/>
      <c r="F160" s="19"/>
      <c r="G160" s="19"/>
      <c r="H160" s="19"/>
      <c r="J160" s="25"/>
    </row>
    <row r="161" spans="1:13">
      <c r="A161" s="7" t="s">
        <v>22</v>
      </c>
      <c r="B161" s="7">
        <f>RSQ($B$4:$B$123,B4:B123)</f>
        <v>1</v>
      </c>
      <c r="C161" s="39">
        <f>RSQ($B$4:$B$123,C4:C123)</f>
        <v>0.32159042251101033</v>
      </c>
      <c r="D161" s="7">
        <f>RSQ($B$4:$B$123,D4:D123)</f>
        <v>8.1491533420860143E-2</v>
      </c>
      <c r="E161" s="7">
        <f>RSQ($B$4:$B$123,E4:E123)</f>
        <v>0.15306626939937207</v>
      </c>
      <c r="F161" s="7">
        <f>RSQ($B$4:$B$123,F4:F123)</f>
        <v>0.10597610632850506</v>
      </c>
      <c r="G161" s="39">
        <f>RSQ($B$4:$B$123,G4:G123)</f>
        <v>0.3316177573839742</v>
      </c>
      <c r="H161" s="7">
        <f>RSQ($B$4:$B$123,H4:H123)</f>
        <v>2.4463088987915434E-2</v>
      </c>
      <c r="I161" s="7"/>
      <c r="K161" s="42">
        <f>RSQ($B$4:$B$122,K4:K122)</f>
        <v>0.29732882959786744</v>
      </c>
      <c r="L161" s="18">
        <f t="shared" ref="L161:M161" si="20">RSQ($B$4:$B$122,L4:L122)</f>
        <v>9.7594542767603897E-3</v>
      </c>
      <c r="M161" s="18">
        <f t="shared" si="20"/>
        <v>6.3330632431900249E-2</v>
      </c>
    </row>
    <row r="163" spans="1:13">
      <c r="A163" s="7" t="s">
        <v>25</v>
      </c>
    </row>
    <row r="165" spans="1:13">
      <c r="B165" s="7">
        <f t="array" ref="B165:E170">LINEST(B4:B123,K4:M123,TRUE,TRUE)</f>
        <v>-0.28549316376562867</v>
      </c>
      <c r="C165" s="7">
        <v>-0.10210445483925908</v>
      </c>
      <c r="D165" s="7">
        <v>0.30689099153079796</v>
      </c>
      <c r="E165" s="7">
        <v>-5.2308794844029877E-18</v>
      </c>
    </row>
    <row r="166" spans="1:13">
      <c r="B166" s="7">
        <v>8.3117071257612848E-2</v>
      </c>
      <c r="C166" s="7">
        <v>7.4428627896714408E-2</v>
      </c>
      <c r="D166" s="7">
        <v>4.1551658230072959E-2</v>
      </c>
      <c r="E166" s="7">
        <v>7.3367399302616737E-2</v>
      </c>
    </row>
    <row r="167" spans="1:13">
      <c r="B167" s="39">
        <v>0.37035099240689034</v>
      </c>
      <c r="C167" s="7">
        <v>0.80369959167063931</v>
      </c>
      <c r="D167" s="7" t="e">
        <v>#N/A</v>
      </c>
      <c r="E167" s="7" t="e">
        <v>#N/A</v>
      </c>
    </row>
    <row r="168" spans="1:13">
      <c r="B168" s="7">
        <v>22.743208041900733</v>
      </c>
      <c r="C168" s="7">
        <v>116</v>
      </c>
      <c r="D168" s="7" t="e">
        <v>#N/A</v>
      </c>
      <c r="E168" s="7" t="e">
        <v>#N/A</v>
      </c>
    </row>
    <row r="169" spans="1:13">
      <c r="B169" s="7">
        <v>44.071768096419959</v>
      </c>
      <c r="C169" s="7">
        <v>74.92823190358007</v>
      </c>
      <c r="D169" s="7" t="e">
        <v>#N/A</v>
      </c>
      <c r="E169" s="7" t="e">
        <v>#N/A</v>
      </c>
    </row>
    <row r="170" spans="1:13">
      <c r="B170" s="7" t="e">
        <v>#N/A</v>
      </c>
      <c r="C170" s="7" t="e">
        <v>#N/A</v>
      </c>
      <c r="D170" s="7" t="e">
        <v>#N/A</v>
      </c>
      <c r="E170" s="7" t="e">
        <v>#N/A</v>
      </c>
    </row>
  </sheetData>
  <mergeCells count="5">
    <mergeCell ref="B1:H1"/>
    <mergeCell ref="K1:P1"/>
    <mergeCell ref="B129:H129"/>
    <mergeCell ref="B143:H143"/>
    <mergeCell ref="B153:H1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Q161"/>
  <sheetViews>
    <sheetView workbookViewId="0">
      <pane ySplit="2" topLeftCell="A3" activePane="bottomLeft" state="frozen"/>
      <selection pane="bottomLeft" activeCell="B4" sqref="B4"/>
    </sheetView>
  </sheetViews>
  <sheetFormatPr defaultRowHeight="15"/>
  <cols>
    <col min="1" max="1" width="19.42578125" style="7" customWidth="1"/>
    <col min="2" max="8" width="9.140625" style="7"/>
    <col min="9" max="9" width="18.5703125" customWidth="1"/>
    <col min="10" max="10" width="19.42578125" style="24" customWidth="1"/>
    <col min="11" max="17" width="9.140625" style="24"/>
  </cols>
  <sheetData>
    <row r="1" spans="1:16" customFormat="1">
      <c r="A1" s="4"/>
      <c r="B1" s="5" t="s">
        <v>9</v>
      </c>
      <c r="C1" s="5"/>
      <c r="D1" s="5"/>
      <c r="E1" s="5"/>
      <c r="F1" s="5"/>
      <c r="G1" s="5"/>
      <c r="H1" s="5"/>
      <c r="J1" s="4"/>
      <c r="K1" s="2" t="s">
        <v>15</v>
      </c>
      <c r="L1" s="2"/>
      <c r="M1" s="2"/>
      <c r="N1" s="2"/>
      <c r="O1" s="2"/>
      <c r="P1" s="2"/>
    </row>
    <row r="2" spans="1:16" customFormat="1">
      <c r="A2" s="4" t="s">
        <v>0</v>
      </c>
      <c r="B2" s="4" t="s">
        <v>2</v>
      </c>
      <c r="C2" s="4" t="s">
        <v>1</v>
      </c>
      <c r="D2" s="4" t="s">
        <v>3</v>
      </c>
      <c r="E2" s="4" t="s">
        <v>4</v>
      </c>
      <c r="F2" s="4" t="s">
        <v>5</v>
      </c>
      <c r="G2" s="4" t="s">
        <v>6</v>
      </c>
      <c r="H2" s="4" t="s">
        <v>7</v>
      </c>
      <c r="J2" s="4" t="s">
        <v>0</v>
      </c>
      <c r="K2" s="21" t="s">
        <v>16</v>
      </c>
      <c r="L2" s="21" t="s">
        <v>17</v>
      </c>
      <c r="M2" s="21" t="s">
        <v>18</v>
      </c>
      <c r="N2" s="21" t="s">
        <v>19</v>
      </c>
      <c r="O2" s="21" t="s">
        <v>20</v>
      </c>
      <c r="P2" s="21" t="s">
        <v>21</v>
      </c>
    </row>
    <row r="3" spans="1:16" customFormat="1">
      <c r="A3" s="6">
        <v>39085</v>
      </c>
      <c r="B3" s="7"/>
      <c r="C3" s="7"/>
      <c r="D3" s="7"/>
      <c r="E3" s="7"/>
      <c r="F3" s="7"/>
      <c r="G3" s="7"/>
      <c r="H3" s="7"/>
      <c r="J3" s="6">
        <v>39085</v>
      </c>
    </row>
    <row r="4" spans="1:16" customFormat="1">
      <c r="A4" s="6">
        <v>39114</v>
      </c>
      <c r="B4" s="8">
        <f>Returns!B4/Returns!B3-1</f>
        <v>-1.3064198386129822E-2</v>
      </c>
      <c r="C4" s="8">
        <f>Returns!C4/Returns!C3-1</f>
        <v>-0.10378866399644116</v>
      </c>
      <c r="D4" s="8">
        <f>Returns!D4/Returns!D3-1</f>
        <v>-2.8538871053695902E-2</v>
      </c>
      <c r="E4" s="8">
        <f>Returns!E4/Returns!E3-1</f>
        <v>-5.3063342880952158E-2</v>
      </c>
      <c r="F4" s="8">
        <f>Returns!F4/Returns!F3-1</f>
        <v>6.2351002586197302E-2</v>
      </c>
      <c r="G4" s="8">
        <f>Returns!G4/Returns!G3-1</f>
        <v>-2.1846176033528231E-2</v>
      </c>
      <c r="H4" s="8">
        <f>Returns!H4/Returns!H3-1</f>
        <v>-6.557377049180324E-2</v>
      </c>
      <c r="J4" s="6">
        <v>39114</v>
      </c>
      <c r="K4">
        <f t="array" ref="K4:K123">MMULT($C$4:$H$123,B154:B159)</f>
        <v>-7.1140755582161985E-2</v>
      </c>
      <c r="L4">
        <f t="array" ref="L4:L123">MMULT($C$4:$H$123,C154:C159)</f>
        <v>1.7417236585722494E-2</v>
      </c>
      <c r="M4">
        <f t="array" ref="M4:M123">MMULT($C$4:$H$123,D154:D159)</f>
        <v>0.13122505952112218</v>
      </c>
    </row>
    <row r="5" spans="1:16" customFormat="1">
      <c r="A5" s="6">
        <v>39142</v>
      </c>
      <c r="B5" s="8">
        <f>Returns!B5/Returns!B4-1</f>
        <v>9.8097008590987356E-2</v>
      </c>
      <c r="C5" s="8">
        <f>Returns!C5/Returns!C4-1</f>
        <v>1.9379264362365367E-2</v>
      </c>
      <c r="D5" s="8">
        <f>Returns!D5/Returns!D4-1</f>
        <v>5.2594761526488787E-2</v>
      </c>
      <c r="E5" s="8">
        <f>Returns!E5/Returns!E4-1</f>
        <v>7.9392914177491392E-2</v>
      </c>
      <c r="F5" s="8">
        <f>Returns!F5/Returns!F4-1</f>
        <v>0.12078545428671372</v>
      </c>
      <c r="G5" s="8">
        <f>Returns!G5/Returns!G4-1</f>
        <v>9.9799828968305526E-3</v>
      </c>
      <c r="H5" s="8">
        <f>Returns!H5/Returns!H4-1</f>
        <v>7.5505218743059377E-3</v>
      </c>
      <c r="J5" s="6">
        <v>39142</v>
      </c>
      <c r="K5">
        <v>7.9295368132925412E-2</v>
      </c>
      <c r="L5">
        <v>0.11443428645610741</v>
      </c>
      <c r="M5">
        <v>3.0450435968223524E-2</v>
      </c>
    </row>
    <row r="6" spans="1:16" customFormat="1">
      <c r="A6" s="6">
        <v>39174</v>
      </c>
      <c r="B6" s="8">
        <f>Returns!B6/Returns!B5-1</f>
        <v>7.415783163762879E-2</v>
      </c>
      <c r="C6" s="8">
        <f>Returns!C6/Returns!C5-1</f>
        <v>2.8854552597802563E-2</v>
      </c>
      <c r="D6" s="8">
        <f>Returns!D6/Returns!D5-1</f>
        <v>5.2087499320766284E-2</v>
      </c>
      <c r="E6" s="8">
        <f>Returns!E6/Returns!E5-1</f>
        <v>5.1784761433017135E-2</v>
      </c>
      <c r="F6" s="8">
        <f>Returns!F6/Returns!F5-1</f>
        <v>8.9006016137227917E-2</v>
      </c>
      <c r="G6" s="8">
        <f>Returns!G6/Returns!G5-1</f>
        <v>4.3290690602424187E-2</v>
      </c>
      <c r="H6" s="8">
        <f>Returns!H6/Returns!H5-1</f>
        <v>-4.6286092131364587E-3</v>
      </c>
      <c r="J6" s="6">
        <v>39174</v>
      </c>
      <c r="K6">
        <v>5.8898989237260072E-2</v>
      </c>
      <c r="L6">
        <v>0.10362632206109698</v>
      </c>
      <c r="M6">
        <v>5.6606527520983961E-3</v>
      </c>
    </row>
    <row r="7" spans="1:16" customFormat="1">
      <c r="A7" s="6">
        <v>39203</v>
      </c>
      <c r="B7" s="8">
        <f>Returns!B7/Returns!B6-1</f>
        <v>0.21432867229904695</v>
      </c>
      <c r="C7" s="8">
        <f>Returns!C7/Returns!C6-1</f>
        <v>5.6281550514485579E-2</v>
      </c>
      <c r="D7" s="8">
        <f>Returns!D7/Returns!D6-1</f>
        <v>5.2268409479747646E-2</v>
      </c>
      <c r="E7" s="8">
        <f>Returns!E7/Returns!E6-1</f>
        <v>5.5144509001961328E-2</v>
      </c>
      <c r="F7" s="8">
        <f>Returns!F7/Returns!F6-1</f>
        <v>6.4238732950491872E-2</v>
      </c>
      <c r="G7" s="8">
        <f>Returns!G7/Returns!G6-1</f>
        <v>3.254922870993493E-2</v>
      </c>
      <c r="H7" s="8">
        <f>Returns!H7/Returns!H6-1</f>
        <v>7.4623560673162004E-2</v>
      </c>
      <c r="J7" s="6">
        <v>39203</v>
      </c>
      <c r="K7">
        <v>0.12210497988898106</v>
      </c>
      <c r="L7">
        <v>5.3415922962437995E-2</v>
      </c>
      <c r="M7">
        <v>-2.6640349175293458E-2</v>
      </c>
    </row>
    <row r="8" spans="1:16" customFormat="1">
      <c r="A8" s="6">
        <v>39234</v>
      </c>
      <c r="B8" s="8">
        <f>Returns!B8/Returns!B7-1</f>
        <v>7.0137752898080663E-3</v>
      </c>
      <c r="C8" s="8">
        <f>Returns!C8/Returns!C7-1</f>
        <v>4.97880744889867E-2</v>
      </c>
      <c r="D8" s="8">
        <f>Returns!D8/Returns!D7-1</f>
        <v>8.5366572773206695E-3</v>
      </c>
      <c r="E8" s="8">
        <f>Returns!E8/Returns!E7-1</f>
        <v>3.3746497610731119E-2</v>
      </c>
      <c r="F8" s="8">
        <f>Returns!F8/Returns!F7-1</f>
        <v>-1.0184992976608243E-2</v>
      </c>
      <c r="G8" s="8">
        <f>Returns!G8/Returns!G7-1</f>
        <v>-1.7816322202167556E-2</v>
      </c>
      <c r="H8" s="8">
        <f>Returns!H8/Returns!H7-1</f>
        <v>1.710282299608501E-2</v>
      </c>
      <c r="J8" s="6">
        <v>39234</v>
      </c>
      <c r="K8">
        <v>2.6493861936973791E-2</v>
      </c>
      <c r="L8">
        <v>7.3527198068984601E-3</v>
      </c>
      <c r="M8">
        <v>-4.9165799754994237E-2</v>
      </c>
    </row>
    <row r="9" spans="1:16" customFormat="1">
      <c r="A9" s="6">
        <v>39265</v>
      </c>
      <c r="B9" s="8">
        <f>Returns!B9/Returns!B8-1</f>
        <v>7.9645974788789431E-2</v>
      </c>
      <c r="C9" s="8">
        <f>Returns!C9/Returns!C8-1</f>
        <v>-2.4296942324592341E-2</v>
      </c>
      <c r="D9" s="8">
        <f>Returns!D9/Returns!D8-1</f>
        <v>1.4902301477524249E-2</v>
      </c>
      <c r="E9" s="8">
        <f>Returns!E9/Returns!E8-1</f>
        <v>1.2108277665658251E-2</v>
      </c>
      <c r="F9" s="8">
        <f>Returns!F9/Returns!F8-1</f>
        <v>-9.2742963144014201E-2</v>
      </c>
      <c r="G9" s="8">
        <f>Returns!G9/Returns!G8-1</f>
        <v>-3.1981878316802548E-2</v>
      </c>
      <c r="H9" s="8">
        <f>Returns!H9/Returns!H8-1</f>
        <v>-6.7666126418152284E-2</v>
      </c>
      <c r="J9" s="6">
        <v>39265</v>
      </c>
      <c r="K9">
        <v>-0.10151468747344203</v>
      </c>
      <c r="L9">
        <v>-3.7985544144584459E-2</v>
      </c>
      <c r="M9">
        <v>-3.7177175606050814E-2</v>
      </c>
    </row>
    <row r="10" spans="1:16" customFormat="1">
      <c r="A10" s="6">
        <v>39295</v>
      </c>
      <c r="B10" s="8">
        <f>Returns!B10/Returns!B9-1</f>
        <v>5.1001946540336851E-2</v>
      </c>
      <c r="C10" s="8">
        <f>Returns!C10/Returns!C9-1</f>
        <v>1.0294152895592434E-2</v>
      </c>
      <c r="D10" s="8">
        <f>Returns!D10/Returns!D9-1</f>
        <v>1.107404541649859E-2</v>
      </c>
      <c r="E10" s="8">
        <f>Returns!E10/Returns!E9-1</f>
        <v>3.661424718663131E-2</v>
      </c>
      <c r="F10" s="8">
        <f>Returns!F10/Returns!F9-1</f>
        <v>2.4369967070706045E-2</v>
      </c>
      <c r="G10" s="8">
        <f>Returns!G10/Returns!G9-1</f>
        <v>1.2863571531556817E-2</v>
      </c>
      <c r="H10" s="8">
        <f>Returns!H10/Returns!H9-1</f>
        <v>-7.6271186440677985E-2</v>
      </c>
      <c r="J10" s="6">
        <v>39295</v>
      </c>
      <c r="K10">
        <v>-4.3592494935540363E-2</v>
      </c>
      <c r="L10">
        <v>7.3626849485369544E-2</v>
      </c>
      <c r="M10">
        <v>-6.6332707653856959E-3</v>
      </c>
    </row>
    <row r="11" spans="1:16" customFormat="1">
      <c r="A11" s="6">
        <v>39329</v>
      </c>
      <c r="B11" s="8">
        <f>Returns!B11/Returns!B10-1</f>
        <v>0.10824662856729339</v>
      </c>
      <c r="C11" s="8">
        <f>Returns!C11/Returns!C10-1</f>
        <v>0.10096073183094489</v>
      </c>
      <c r="D11" s="8">
        <f>Returns!D11/Returns!D10-1</f>
        <v>7.9668651134317869E-2</v>
      </c>
      <c r="E11" s="8">
        <f>Returns!E11/Returns!E10-1</f>
        <v>6.6317267925626755E-2</v>
      </c>
      <c r="F11" s="8">
        <f>Returns!F11/Returns!F10-1</f>
        <v>-1.9413233930168139E-2</v>
      </c>
      <c r="G11" s="8">
        <f>Returns!G11/Returns!G10-1</f>
        <v>3.5794008343299488E-2</v>
      </c>
      <c r="H11" s="8">
        <f>Returns!H11/Returns!H10-1</f>
        <v>-5.1752528816749743E-3</v>
      </c>
      <c r="J11" s="6">
        <v>39329</v>
      </c>
      <c r="K11">
        <v>3.713994792564184E-2</v>
      </c>
      <c r="L11">
        <v>6.263234590410155E-2</v>
      </c>
      <c r="M11">
        <v>-0.11808026804203961</v>
      </c>
    </row>
    <row r="12" spans="1:16" customFormat="1">
      <c r="A12" s="6">
        <v>39356</v>
      </c>
      <c r="B12" s="8">
        <f>Returns!B12/Returns!B11-1</f>
        <v>0.23770113648615143</v>
      </c>
      <c r="C12" s="8">
        <f>Returns!C12/Returns!C11-1</f>
        <v>0.24632006840449439</v>
      </c>
      <c r="D12" s="8">
        <f>Returns!D12/Returns!D11-1</f>
        <v>-6.1581997377624376E-3</v>
      </c>
      <c r="E12" s="8">
        <f>Returns!E12/Returns!E11-1</f>
        <v>-2.2120184154470923E-2</v>
      </c>
      <c r="F12" s="8">
        <f>Returns!F12/Returns!F11-1</f>
        <v>4.8377571266194463E-2</v>
      </c>
      <c r="G12" s="8">
        <f>Returns!G12/Returns!G11-1</f>
        <v>1.4822338300311211E-2</v>
      </c>
      <c r="H12" s="8">
        <f>Returns!H12/Returns!H11-1</f>
        <v>-1.4660676282809204E-2</v>
      </c>
      <c r="J12" s="6">
        <v>39356</v>
      </c>
      <c r="K12">
        <v>6.5257788452382032E-2</v>
      </c>
      <c r="L12">
        <v>0.12673432426470227</v>
      </c>
      <c r="M12">
        <v>-0.15813325293921399</v>
      </c>
    </row>
    <row r="13" spans="1:16" customFormat="1">
      <c r="A13" s="6">
        <v>39387</v>
      </c>
      <c r="B13" s="8">
        <f>Returns!B13/Returns!B12-1</f>
        <v>-4.0694904876225735E-2</v>
      </c>
      <c r="C13" s="8">
        <f>Returns!C13/Returns!C12-1</f>
        <v>-1.9801960292162524E-2</v>
      </c>
      <c r="D13" s="8">
        <f>Returns!D13/Returns!D12-1</f>
        <v>-2.6996094664111014E-2</v>
      </c>
      <c r="E13" s="8">
        <f>Returns!E13/Returns!E12-1</f>
        <v>-3.4420132833618333E-2</v>
      </c>
      <c r="F13" s="8">
        <f>Returns!F13/Returns!F12-1</f>
        <v>-7.4083447925805013E-2</v>
      </c>
      <c r="G13" s="8">
        <f>Returns!G13/Returns!G12-1</f>
        <v>-4.4043417224814418E-2</v>
      </c>
      <c r="H13" s="8">
        <f>Returns!H13/Returns!H12-1</f>
        <v>-0.17974562035037189</v>
      </c>
      <c r="J13" s="6">
        <v>39387</v>
      </c>
      <c r="K13">
        <v>-0.20197514964678964</v>
      </c>
      <c r="L13">
        <v>1.4861623689621448E-2</v>
      </c>
      <c r="M13">
        <v>-1.6299207214997738E-2</v>
      </c>
    </row>
    <row r="14" spans="1:16" customFormat="1">
      <c r="A14" s="6">
        <v>39419</v>
      </c>
      <c r="B14" s="8">
        <f>Returns!B14/Returns!B13-1</f>
        <v>8.7037635376134181E-2</v>
      </c>
      <c r="C14" s="8">
        <f>Returns!C14/Returns!C13-1</f>
        <v>-2.193373513451613E-3</v>
      </c>
      <c r="D14" s="8">
        <f>Returns!D14/Returns!D13-1</f>
        <v>5.0807436894768632E-2</v>
      </c>
      <c r="E14" s="8">
        <f>Returns!E14/Returns!E13-1</f>
        <v>6.3347416661393652E-2</v>
      </c>
      <c r="F14" s="8">
        <f>Returns!F14/Returns!F13-1</f>
        <v>7.5729674800564029E-2</v>
      </c>
      <c r="G14" s="8">
        <f>Returns!G14/Returns!G13-1</f>
        <v>-8.6285090339686121E-3</v>
      </c>
      <c r="H14" s="8">
        <f>Returns!H14/Returns!H13-1</f>
        <v>1.0825043885313024E-2</v>
      </c>
      <c r="J14" s="6">
        <v>39419</v>
      </c>
      <c r="K14">
        <v>5.3334756411904022E-2</v>
      </c>
      <c r="L14">
        <v>6.61468315351883E-2</v>
      </c>
      <c r="M14">
        <v>2.700107334675772E-2</v>
      </c>
    </row>
    <row r="15" spans="1:16" customFormat="1">
      <c r="A15" s="6">
        <v>39449</v>
      </c>
      <c r="B15" s="8">
        <f>Returns!B15/Returns!B14-1</f>
        <v>-0.31663975367825925</v>
      </c>
      <c r="C15" s="8">
        <f>Returns!C15/Returns!C14-1</f>
        <v>-0.18392432914014722</v>
      </c>
      <c r="D15" s="8">
        <f>Returns!D15/Returns!D14-1</f>
        <v>-8.528121584109527E-2</v>
      </c>
      <c r="E15" s="8">
        <f>Returns!E15/Returns!E14-1</f>
        <v>-0.10800383855725793</v>
      </c>
      <c r="F15" s="8">
        <f>Returns!F15/Returns!F14-1</f>
        <v>-0.15664729937219646</v>
      </c>
      <c r="G15" s="8">
        <f>Returns!G15/Returns!G14-1</f>
        <v>-6.116343193593643E-2</v>
      </c>
      <c r="H15" s="8">
        <f>Returns!H15/Returns!H14-1</f>
        <v>-0.18205499276410997</v>
      </c>
      <c r="J15" s="6">
        <v>39449</v>
      </c>
      <c r="K15">
        <v>-0.29783559050164832</v>
      </c>
      <c r="L15">
        <v>-0.12987577049336196</v>
      </c>
      <c r="M15">
        <v>8.7096520579015291E-2</v>
      </c>
    </row>
    <row r="16" spans="1:16" customFormat="1">
      <c r="A16" s="6">
        <v>39479</v>
      </c>
      <c r="B16" s="8">
        <f>Returns!B16/Returns!B15-1</f>
        <v>-7.6388840787376955E-2</v>
      </c>
      <c r="C16" s="8">
        <f>Returns!C16/Returns!C15-1</f>
        <v>-0.16501859862925794</v>
      </c>
      <c r="D16" s="8">
        <f>Returns!D16/Returns!D15-1</f>
        <v>1.9667962468973732E-2</v>
      </c>
      <c r="E16" s="8">
        <f>Returns!E16/Returns!E15-1</f>
        <v>4.8457367957407183E-2</v>
      </c>
      <c r="F16" s="8">
        <f>Returns!F16/Returns!F15-1</f>
        <v>-1.9844747350556968E-2</v>
      </c>
      <c r="G16" s="8">
        <f>Returns!G16/Returns!G15-1</f>
        <v>-3.4761192772624461E-2</v>
      </c>
      <c r="H16" s="8">
        <f>Returns!H16/Returns!H15-1</f>
        <v>-0.11217268223637655</v>
      </c>
      <c r="J16" s="6">
        <v>39479</v>
      </c>
      <c r="K16">
        <v>-0.13884040030664993</v>
      </c>
      <c r="L16">
        <v>-7.3021766453118461E-3</v>
      </c>
      <c r="M16">
        <v>0.10399476985698335</v>
      </c>
    </row>
    <row r="17" spans="1:13" customFormat="1">
      <c r="A17" s="6">
        <v>39510</v>
      </c>
      <c r="B17" s="8">
        <f>Returns!B17/Returns!B16-1</f>
        <v>0.14781628522818857</v>
      </c>
      <c r="C17" s="8">
        <f>Returns!C17/Returns!C16-1</f>
        <v>-6.5176874444639488E-2</v>
      </c>
      <c r="D17" s="8">
        <f>Returns!D17/Returns!D16-1</f>
        <v>-2.7927776869712151E-2</v>
      </c>
      <c r="E17" s="8">
        <f>Returns!E17/Returns!E16-1</f>
        <v>-1.5001161968053123E-2</v>
      </c>
      <c r="F17" s="8">
        <f>Returns!F17/Returns!F16-1</f>
        <v>-0.14990493317710307</v>
      </c>
      <c r="G17" s="8">
        <f>Returns!G17/Returns!G16-1</f>
        <v>-5.9596236145298409E-3</v>
      </c>
      <c r="H17" s="8">
        <f>Returns!H17/Returns!H16-1</f>
        <v>-1.6739736946990713E-2</v>
      </c>
      <c r="J17" s="6">
        <v>39510</v>
      </c>
      <c r="K17">
        <v>-9.6333653797869026E-2</v>
      </c>
      <c r="L17">
        <v>-0.12597892551863316</v>
      </c>
      <c r="M17">
        <v>-2.9276735494711718E-2</v>
      </c>
    </row>
    <row r="18" spans="1:13" customFormat="1">
      <c r="A18" s="6">
        <v>39539</v>
      </c>
      <c r="B18" s="8">
        <f>Returns!B18/Returns!B17-1</f>
        <v>0.21219515369233988</v>
      </c>
      <c r="C18" s="8">
        <f>Returns!C18/Returns!C17-1</f>
        <v>0.30381195221151591</v>
      </c>
      <c r="D18" s="8">
        <f>Returns!D18/Returns!D17-1</f>
        <v>0.10037829286581146</v>
      </c>
      <c r="E18" s="8">
        <f>Returns!E18/Returns!E17-1</f>
        <v>0.12640585850516084</v>
      </c>
      <c r="F18" s="8">
        <f>Returns!F18/Returns!F17-1</f>
        <v>-5.2942149942817318E-3</v>
      </c>
      <c r="G18" s="8">
        <f>Returns!G18/Returns!G17-1</f>
        <v>4.7546697913198877E-2</v>
      </c>
      <c r="H18" s="8">
        <f>Returns!H18/Returns!H17-1</f>
        <v>0.22942845561410619</v>
      </c>
      <c r="J18" s="6">
        <v>39539</v>
      </c>
      <c r="K18">
        <v>0.30557085544286322</v>
      </c>
      <c r="L18">
        <v>4.2043208636815335E-2</v>
      </c>
      <c r="M18">
        <v>-0.27518094866685161</v>
      </c>
    </row>
    <row r="19" spans="1:13" customFormat="1">
      <c r="A19" s="6">
        <v>39569</v>
      </c>
      <c r="B19" s="8">
        <f>Returns!B19/Returns!B18-1</f>
        <v>8.5081932549795347E-2</v>
      </c>
      <c r="C19" s="8">
        <f>Returns!C19/Returns!C18-1</f>
        <v>2.0042160626131178E-2</v>
      </c>
      <c r="D19" s="8">
        <f>Returns!D19/Returns!D18-1</f>
        <v>-4.2048269648403802E-2</v>
      </c>
      <c r="E19" s="8">
        <f>Returns!E19/Returns!E18-1</f>
        <v>3.8106286081713625E-2</v>
      </c>
      <c r="F19" s="8">
        <f>Returns!F19/Returns!F18-1</f>
        <v>4.3880503578350494E-2</v>
      </c>
      <c r="G19" s="8">
        <f>Returns!G19/Returns!G18-1</f>
        <v>1.0674181657577053E-2</v>
      </c>
      <c r="H19" s="8">
        <f>Returns!H19/Returns!H18-1</f>
        <v>0.12331025387405203</v>
      </c>
      <c r="J19" s="6">
        <v>39569</v>
      </c>
      <c r="K19">
        <v>0.13034768070326003</v>
      </c>
      <c r="L19">
        <v>-2.3619664396547314E-2</v>
      </c>
      <c r="M19">
        <v>1.0508154226209238E-2</v>
      </c>
    </row>
    <row r="20" spans="1:13" customFormat="1">
      <c r="A20" s="6">
        <v>39601</v>
      </c>
      <c r="B20" s="8">
        <f>Returns!B20/Returns!B19-1</f>
        <v>-0.11290069550608506</v>
      </c>
      <c r="C20" s="8">
        <f>Returns!C20/Returns!C19-1</f>
        <v>-0.10136568078422759</v>
      </c>
      <c r="D20" s="8">
        <f>Returns!D20/Returns!D19-1</f>
        <v>-7.0978226405231659E-3</v>
      </c>
      <c r="E20" s="8">
        <f>Returns!E20/Returns!E19-1</f>
        <v>-2.0172649945404686E-4</v>
      </c>
      <c r="F20" s="8">
        <f>Returns!F20/Returns!F19-1</f>
        <v>-0.19000786293964589</v>
      </c>
      <c r="G20" s="8">
        <f>Returns!G20/Returns!G19-1</f>
        <v>-8.5962384902803612E-2</v>
      </c>
      <c r="H20" s="8">
        <f>Returns!H20/Returns!H19-1</f>
        <v>-1.9371881420604642E-2</v>
      </c>
      <c r="J20" s="6">
        <v>39601</v>
      </c>
      <c r="K20">
        <v>-0.13037393830927754</v>
      </c>
      <c r="L20">
        <v>-0.17585599483992834</v>
      </c>
      <c r="M20">
        <v>-2.0079459527054248E-2</v>
      </c>
    </row>
    <row r="21" spans="1:13" customFormat="1">
      <c r="A21" s="6">
        <v>39630</v>
      </c>
      <c r="B21" s="8">
        <f>Returns!B21/Returns!B20-1</f>
        <v>-5.0704706697931035E-2</v>
      </c>
      <c r="C21" s="8">
        <f>Returns!C21/Returns!C20-1</f>
        <v>-0.10005322735324629</v>
      </c>
      <c r="D21" s="8">
        <f>Returns!D21/Returns!D20-1</f>
        <v>-8.7370918884448479E-2</v>
      </c>
      <c r="E21" s="8">
        <f>Returns!E21/Returns!E20-1</f>
        <v>-0.14697875619101586</v>
      </c>
      <c r="F21" s="8">
        <f>Returns!F21/Returns!F20-1</f>
        <v>-0.18868366872723408</v>
      </c>
      <c r="G21" s="8">
        <f>Returns!G21/Returns!G20-1</f>
        <v>-9.8593710937500134E-3</v>
      </c>
      <c r="H21" s="8">
        <f>Returns!H21/Returns!H20-1</f>
        <v>-2.2448368751870729E-2</v>
      </c>
      <c r="J21" s="6">
        <v>39630</v>
      </c>
      <c r="K21">
        <v>-0.15350351377738097</v>
      </c>
      <c r="L21">
        <v>-0.20328930134312045</v>
      </c>
      <c r="M21">
        <v>1.0215213498077481E-2</v>
      </c>
    </row>
    <row r="22" spans="1:13" customFormat="1">
      <c r="A22" s="6">
        <v>39661</v>
      </c>
      <c r="B22" s="8">
        <f>Returns!B22/Returns!B21-1</f>
        <v>6.6561812909534668E-2</v>
      </c>
      <c r="C22" s="8">
        <f>Returns!C22/Returns!C21-1</f>
        <v>-2.2079125726329196E-2</v>
      </c>
      <c r="D22" s="8">
        <f>Returns!D22/Returns!D21-1</f>
        <v>-1.4136308040790801E-4</v>
      </c>
      <c r="E22" s="8">
        <f>Returns!E22/Returns!E21-1</f>
        <v>2.8535466445868796E-2</v>
      </c>
      <c r="F22" s="8">
        <f>Returns!F22/Returns!F21-1</f>
        <v>4.5164841617708396E-2</v>
      </c>
      <c r="G22" s="8">
        <f>Returns!G22/Returns!G21-1</f>
        <v>1.2190464532380041E-2</v>
      </c>
      <c r="H22" s="8">
        <f>Returns!H22/Returns!H21-1</f>
        <v>-5.4194733619105984E-2</v>
      </c>
      <c r="J22" s="6">
        <v>39661</v>
      </c>
      <c r="K22">
        <v>-2.7104711740553955E-2</v>
      </c>
      <c r="L22">
        <v>6.0539251975137924E-2</v>
      </c>
      <c r="M22">
        <v>3.4142673748601943E-2</v>
      </c>
    </row>
    <row r="23" spans="1:13" customFormat="1">
      <c r="A23" s="6">
        <v>39693</v>
      </c>
      <c r="B23" s="8">
        <f>Returns!B23/Returns!B22-1</f>
        <v>-0.3295582330263962</v>
      </c>
      <c r="C23" s="8">
        <f>Returns!C23/Returns!C22-1</f>
        <v>-0.13548748518596454</v>
      </c>
      <c r="D23" s="8">
        <f>Returns!D23/Returns!D22-1</f>
        <v>-2.9371304761646511E-2</v>
      </c>
      <c r="E23" s="8">
        <f>Returns!E23/Returns!E22-1</f>
        <v>-4.4485570102514971E-2</v>
      </c>
      <c r="F23" s="8">
        <f>Returns!F23/Returns!F22-1</f>
        <v>-0.12830831305958057</v>
      </c>
      <c r="G23" s="8">
        <f>Returns!G23/Returns!G22-1</f>
        <v>-9.0791433779084607E-2</v>
      </c>
      <c r="H23" s="8">
        <f>Returns!H23/Returns!H22-1</f>
        <v>-3.3344124312075007E-2</v>
      </c>
      <c r="J23" s="6">
        <v>39693</v>
      </c>
      <c r="K23">
        <v>-0.13626468873979203</v>
      </c>
      <c r="L23">
        <v>-0.15399290475783431</v>
      </c>
      <c r="M23">
        <v>5.3941551068607908E-2</v>
      </c>
    </row>
    <row r="24" spans="1:13" customFormat="1">
      <c r="A24" s="6">
        <v>39722</v>
      </c>
      <c r="B24" s="8">
        <f>Returns!B24/Returns!B23-1</f>
        <v>-5.340482239457478E-2</v>
      </c>
      <c r="C24" s="8">
        <f>Returns!C24/Returns!C23-1</f>
        <v>-0.10276641260641595</v>
      </c>
      <c r="D24" s="8">
        <f>Returns!D24/Returns!D23-1</f>
        <v>-4.5583334844242485E-2</v>
      </c>
      <c r="E24" s="8">
        <f>Returns!E24/Returns!E23-1</f>
        <v>-9.5538349119326682E-2</v>
      </c>
      <c r="F24" s="8">
        <f>Returns!F24/Returns!F23-1</f>
        <v>-0.32079211302834076</v>
      </c>
      <c r="G24" s="8">
        <f>Returns!G24/Returns!G23-1</f>
        <v>-0.1694245237674199</v>
      </c>
      <c r="H24" s="8">
        <f>Returns!H24/Returns!H23-1</f>
        <v>-5.5257870060281267E-2</v>
      </c>
      <c r="J24" s="6">
        <v>39722</v>
      </c>
      <c r="K24">
        <v>-0.24497842946828086</v>
      </c>
      <c r="L24">
        <v>-0.29341900478431049</v>
      </c>
      <c r="M24">
        <v>-6.0031769189968241E-2</v>
      </c>
    </row>
    <row r="25" spans="1:13" customFormat="1">
      <c r="A25" s="6">
        <v>39755</v>
      </c>
      <c r="B25" s="8">
        <f>Returns!B25/Returns!B24-1</f>
        <v>-0.13867464890615522</v>
      </c>
      <c r="C25" s="8">
        <f>Returns!C25/Returns!C24-1</f>
        <v>-0.18477290539676627</v>
      </c>
      <c r="D25" s="8">
        <f>Returns!D25/Returns!D24-1</f>
        <v>8.7572762840024243E-2</v>
      </c>
      <c r="E25" s="8">
        <f>Returns!E25/Returns!E24-1</f>
        <v>6.8286874983586321E-2</v>
      </c>
      <c r="F25" s="8">
        <f>Returns!F25/Returns!F24-1</f>
        <v>-0.10113213557701373</v>
      </c>
      <c r="G25" s="8">
        <f>Returns!G25/Returns!G24-1</f>
        <v>-7.4849042580645175E-2</v>
      </c>
      <c r="H25" s="8">
        <f>Returns!H25/Returns!H24-1</f>
        <v>-0.31088266572137546</v>
      </c>
      <c r="J25" s="6">
        <v>39755</v>
      </c>
      <c r="K25">
        <v>-0.34021060566643746</v>
      </c>
      <c r="L25">
        <v>4.1894449737902448E-2</v>
      </c>
      <c r="M25">
        <v>5.812779714215939E-2</v>
      </c>
    </row>
    <row r="26" spans="1:13" customFormat="1">
      <c r="A26" s="6">
        <v>39783</v>
      </c>
      <c r="B26" s="8">
        <f>Returns!B26/Returns!B25-1</f>
        <v>-7.8989996713477173E-2</v>
      </c>
      <c r="C26" s="8">
        <f>Returns!C26/Returns!C25-1</f>
        <v>5.014337652930978E-2</v>
      </c>
      <c r="D26" s="8">
        <f>Returns!D26/Returns!D25-1</f>
        <v>-3.9924689912093081E-3</v>
      </c>
      <c r="E26" s="8">
        <f>Returns!E26/Returns!E25-1</f>
        <v>-6.3789412130135892E-2</v>
      </c>
      <c r="F26" s="8">
        <f>Returns!F26/Returns!F25-1</f>
        <v>0.17929154364929789</v>
      </c>
      <c r="G26" s="8">
        <f>Returns!G26/Returns!G25-1</f>
        <v>7.8215768970539834E-3</v>
      </c>
      <c r="H26" s="8">
        <f>Returns!H26/Returns!H25-1</f>
        <v>-0.2021604938271605</v>
      </c>
      <c r="J26" s="6">
        <v>39783</v>
      </c>
      <c r="K26">
        <v>-9.7523675801447399E-2</v>
      </c>
      <c r="L26">
        <v>0.23255377529538984</v>
      </c>
      <c r="M26">
        <v>7.139191101873027E-2</v>
      </c>
    </row>
    <row r="27" spans="1:13" customFormat="1">
      <c r="A27" s="6">
        <v>39815</v>
      </c>
      <c r="B27" s="8">
        <f>Returns!B27/Returns!B26-1</f>
        <v>5.6004813319540103E-2</v>
      </c>
      <c r="C27" s="8">
        <f>Returns!C27/Returns!C26-1</f>
        <v>0.10037372552898516</v>
      </c>
      <c r="D27" s="8">
        <f>Returns!D27/Returns!D26-1</f>
        <v>-4.1964131769628654E-2</v>
      </c>
      <c r="E27" s="8">
        <f>Returns!E27/Returns!E26-1</f>
        <v>-4.6640594709159156E-2</v>
      </c>
      <c r="F27" s="8">
        <f>Returns!F27/Returns!F26-1</f>
        <v>0.11460244735035419</v>
      </c>
      <c r="G27" s="8">
        <f>Returns!G27/Returns!G26-1</f>
        <v>-8.5657342928314395E-2</v>
      </c>
      <c r="H27" s="8">
        <f>Returns!H27/Returns!H26-1</f>
        <v>0.20760799484203751</v>
      </c>
      <c r="J27" s="6">
        <v>39815</v>
      </c>
      <c r="K27">
        <v>0.22234067853648762</v>
      </c>
      <c r="L27">
        <v>-3.209443132714021E-2</v>
      </c>
      <c r="M27">
        <v>2.1795981223529552E-2</v>
      </c>
    </row>
    <row r="28" spans="1:13" customFormat="1">
      <c r="A28" s="6">
        <v>39846</v>
      </c>
      <c r="B28" s="8">
        <f>Returns!B28/Returns!B27-1</f>
        <v>-9.098017280264159E-3</v>
      </c>
      <c r="C28" s="8">
        <f>Returns!C28/Returns!C27-1</f>
        <v>-1.5950329714995437E-3</v>
      </c>
      <c r="D28" s="8">
        <f>Returns!D28/Returns!D27-1</f>
        <v>-0.10771250209769578</v>
      </c>
      <c r="E28" s="8">
        <f>Returns!E28/Returns!E27-1</f>
        <v>-0.13118445385179489</v>
      </c>
      <c r="F28" s="8">
        <f>Returns!F28/Returns!F27-1</f>
        <v>-0.19140825552950302</v>
      </c>
      <c r="G28" s="8">
        <f>Returns!G28/Returns!G27-1</f>
        <v>-0.10993119757149228</v>
      </c>
      <c r="H28" s="8">
        <f>Returns!H28/Returns!H27-1</f>
        <v>7.8483715963694634E-2</v>
      </c>
      <c r="J28" s="6">
        <v>39846</v>
      </c>
      <c r="K28">
        <v>-5.874805978685578E-2</v>
      </c>
      <c r="L28">
        <v>-0.24471888896734723</v>
      </c>
      <c r="M28">
        <v>-5.0983019934577066E-2</v>
      </c>
    </row>
    <row r="29" spans="1:13" customFormat="1">
      <c r="A29" s="6">
        <v>39874</v>
      </c>
      <c r="B29" s="8">
        <f>Returns!B29/Returns!B28-1</f>
        <v>0.17702392108168463</v>
      </c>
      <c r="C29" s="8">
        <f>Returns!C29/Returns!C28-1</f>
        <v>2.97937153542569E-2</v>
      </c>
      <c r="D29" s="8">
        <f>Returns!D29/Returns!D28-1</f>
        <v>2.9454554550212286E-3</v>
      </c>
      <c r="E29" s="8">
        <f>Returns!E29/Returns!E28-1</f>
        <v>0.10756045410329151</v>
      </c>
      <c r="F29" s="8">
        <f>Returns!F29/Returns!F28-1</f>
        <v>-7.6367656780415016E-2</v>
      </c>
      <c r="G29" s="8">
        <f>Returns!G29/Returns!G28-1</f>
        <v>8.540446162249471E-2</v>
      </c>
      <c r="H29" s="8">
        <f>Returns!H29/Returns!H28-1</f>
        <v>-0.17079207920792083</v>
      </c>
      <c r="J29" s="6">
        <v>39874</v>
      </c>
      <c r="K29">
        <v>-0.13825398675338241</v>
      </c>
      <c r="L29">
        <v>9.3333945433561036E-2</v>
      </c>
      <c r="M29">
        <v>-0.10509054791246528</v>
      </c>
    </row>
    <row r="30" spans="1:13" customFormat="1">
      <c r="A30" s="6">
        <v>39904</v>
      </c>
      <c r="B30" s="8">
        <f>Returns!B30/Returns!B29-1</f>
        <v>0.19701282640272066</v>
      </c>
      <c r="C30" s="8">
        <f>Returns!C30/Returns!C29-1</f>
        <v>0.13764866180255786</v>
      </c>
      <c r="D30" s="8">
        <f>Returns!D30/Returns!D29-1</f>
        <v>-2.0998528361433788E-2</v>
      </c>
      <c r="E30" s="8">
        <f>Returns!E30/Returns!E29-1</f>
        <v>-1.695420854873797E-2</v>
      </c>
      <c r="F30" s="8">
        <f>Returns!F30/Returns!F29-1</f>
        <v>0.1083799788783737</v>
      </c>
      <c r="G30" s="8">
        <f>Returns!G30/Returns!G29-1</f>
        <v>9.3925079862164695E-2</v>
      </c>
      <c r="H30" s="8">
        <f>Returns!H30/Returns!H29-1</f>
        <v>0.20417910447761178</v>
      </c>
      <c r="J30" s="6">
        <v>39904</v>
      </c>
      <c r="K30">
        <v>0.25909513329133449</v>
      </c>
      <c r="L30">
        <v>2.938775737860147E-2</v>
      </c>
      <c r="M30">
        <v>-4.3121555914387766E-2</v>
      </c>
    </row>
    <row r="31" spans="1:13" customFormat="1">
      <c r="A31" s="6">
        <v>39934</v>
      </c>
      <c r="B31" s="8">
        <f>Returns!B31/Returns!B30-1</f>
        <v>7.9313349324546811E-2</v>
      </c>
      <c r="C31" s="8">
        <f>Returns!C31/Returns!C30-1</f>
        <v>5.3690942087194493E-2</v>
      </c>
      <c r="D31" s="8">
        <f>Returns!D31/Returns!D30-1</f>
        <v>4.6405553214801332E-2</v>
      </c>
      <c r="E31" s="8">
        <f>Returns!E31/Returns!E30-1</f>
        <v>1.8379392710468956E-2</v>
      </c>
      <c r="F31" s="8">
        <f>Returns!F31/Returns!F30-1</f>
        <v>0.13572653251333233</v>
      </c>
      <c r="G31" s="8">
        <f>Returns!G31/Returns!G30-1</f>
        <v>5.3081446255385467E-2</v>
      </c>
      <c r="H31" s="8">
        <f>Returns!H31/Returns!H30-1</f>
        <v>0.16360932077342594</v>
      </c>
      <c r="J31" s="6">
        <v>39934</v>
      </c>
      <c r="K31">
        <v>0.2219949127037118</v>
      </c>
      <c r="L31">
        <v>4.9249168151134656E-2</v>
      </c>
      <c r="M31">
        <v>2.4665793695707719E-2</v>
      </c>
    </row>
    <row r="32" spans="1:13" customFormat="1">
      <c r="A32" s="6">
        <v>39965</v>
      </c>
      <c r="B32" s="8">
        <f>Returns!B32/Returns!B31-1</f>
        <v>4.8744698323337055E-2</v>
      </c>
      <c r="C32" s="8">
        <f>Returns!C32/Returns!C31-1</f>
        <v>1.0449872132864302E-2</v>
      </c>
      <c r="D32" s="8">
        <f>Returns!D32/Returns!D31-1</f>
        <v>8.075041842660946E-3</v>
      </c>
      <c r="E32" s="8">
        <f>Returns!E32/Returns!E31-1</f>
        <v>-6.2997176674943756E-3</v>
      </c>
      <c r="F32" s="8">
        <f>Returns!F32/Returns!F31-1</f>
        <v>-0.2449709400276896</v>
      </c>
      <c r="G32" s="8">
        <f>Returns!G32/Returns!G31-1</f>
        <v>1.9582653030303376E-4</v>
      </c>
      <c r="H32" s="8">
        <f>Returns!H32/Returns!H31-1</f>
        <v>8.9902002556454974E-2</v>
      </c>
      <c r="J32" s="6">
        <v>39965</v>
      </c>
      <c r="K32">
        <v>-1.8884951413423529E-2</v>
      </c>
      <c r="L32">
        <v>-0.20996932729139461</v>
      </c>
      <c r="M32">
        <v>-0.14671799342585809</v>
      </c>
    </row>
    <row r="33" spans="1:13" customFormat="1">
      <c r="A33" s="6">
        <v>39995</v>
      </c>
      <c r="B33" s="8">
        <f>Returns!B33/Returns!B32-1</f>
        <v>0.14715990618551933</v>
      </c>
      <c r="C33" s="8">
        <f>Returns!C33/Returns!C32-1</f>
        <v>5.090253484513485E-2</v>
      </c>
      <c r="D33" s="8">
        <f>Returns!D33/Returns!D32-1</f>
        <v>6.8659428502508835E-3</v>
      </c>
      <c r="E33" s="8">
        <f>Returns!E33/Returns!E32-1</f>
        <v>4.8603848266968397E-2</v>
      </c>
      <c r="F33" s="8">
        <f>Returns!F33/Returns!F32-1</f>
        <v>6.5719032134218702E-2</v>
      </c>
      <c r="G33" s="8">
        <f>Returns!G33/Returns!G32-1</f>
        <v>7.4141727016716619E-2</v>
      </c>
      <c r="H33" s="8">
        <f>Returns!H33/Returns!H32-1</f>
        <v>-9.7732603596559775E-3</v>
      </c>
      <c r="J33" s="6">
        <v>39995</v>
      </c>
      <c r="K33">
        <v>4.9709903088889423E-2</v>
      </c>
      <c r="L33">
        <v>9.7129723655505054E-2</v>
      </c>
      <c r="M33">
        <v>-2.186853089215824E-2</v>
      </c>
    </row>
    <row r="34" spans="1:13" customFormat="1">
      <c r="A34" s="6">
        <v>40028</v>
      </c>
      <c r="B34" s="8">
        <f>Returns!B34/Returns!B33-1</f>
        <v>2.95000407563073E-2</v>
      </c>
      <c r="C34" s="8">
        <f>Returns!C34/Returns!C33-1</f>
        <v>4.2026880507944675E-2</v>
      </c>
      <c r="D34" s="8">
        <f>Returns!D34/Returns!D33-1</f>
        <v>-1.1615500347951002E-2</v>
      </c>
      <c r="E34" s="8">
        <f>Returns!E34/Returns!E33-1</f>
        <v>1.6840647688969979E-2</v>
      </c>
      <c r="F34" s="8">
        <f>Returns!F34/Returns!F33-1</f>
        <v>4.9612389196584283E-2</v>
      </c>
      <c r="G34" s="8">
        <f>Returns!G34/Returns!G33-1</f>
        <v>3.3560189240494864E-2</v>
      </c>
      <c r="H34" s="8">
        <f>Returns!H34/Returns!H33-1</f>
        <v>-5.6454796683774067E-2</v>
      </c>
      <c r="J34" s="6">
        <v>40028</v>
      </c>
      <c r="K34">
        <v>-1.154337974529894E-2</v>
      </c>
      <c r="L34">
        <v>8.8064009648072719E-2</v>
      </c>
      <c r="M34">
        <v>-1.1395404507187436E-2</v>
      </c>
    </row>
    <row r="35" spans="1:13" customFormat="1">
      <c r="A35" s="6">
        <v>40057</v>
      </c>
      <c r="B35" s="8">
        <f>Returns!B35/Returns!B34-1</f>
        <v>0.1018963208512691</v>
      </c>
      <c r="C35" s="8">
        <f>Returns!C35/Returns!C34-1</f>
        <v>7.4035550093088487E-2</v>
      </c>
      <c r="D35" s="8">
        <f>Returns!D35/Returns!D34-1</f>
        <v>-7.8091499550891896E-3</v>
      </c>
      <c r="E35" s="8">
        <f>Returns!E35/Returns!E34-1</f>
        <v>7.0059750093078854E-3</v>
      </c>
      <c r="F35" s="8">
        <f>Returns!F35/Returns!F34-1</f>
        <v>3.4685103612385415E-2</v>
      </c>
      <c r="G35" s="8">
        <f>Returns!G35/Returns!G34-1</f>
        <v>3.5723345788458705E-2</v>
      </c>
      <c r="H35" s="8">
        <f>Returns!H35/Returns!H34-1</f>
        <v>-3.0125523012552335E-2</v>
      </c>
      <c r="J35" s="6">
        <v>40057</v>
      </c>
      <c r="K35">
        <v>1.1873072632704346E-2</v>
      </c>
      <c r="L35">
        <v>7.4466338198902263E-2</v>
      </c>
      <c r="M35">
        <v>-4.2662534365481022E-2</v>
      </c>
    </row>
    <row r="36" spans="1:13" customFormat="1">
      <c r="A36" s="6">
        <v>40087</v>
      </c>
      <c r="B36" s="8">
        <f>Returns!B36/Returns!B35-1</f>
        <v>1.6994959153908917E-2</v>
      </c>
      <c r="C36" s="8">
        <f>Returns!C36/Returns!C35-1</f>
        <v>8.1214053341489123E-2</v>
      </c>
      <c r="D36" s="8">
        <f>Returns!D36/Returns!D35-1</f>
        <v>4.4599858819417859E-2</v>
      </c>
      <c r="E36" s="8">
        <f>Returns!E36/Returns!E35-1</f>
        <v>8.6752779178096873E-2</v>
      </c>
      <c r="F36" s="8">
        <f>Returns!F36/Returns!F35-1</f>
        <v>-6.6529102016053554E-2</v>
      </c>
      <c r="G36" s="8">
        <f>Returns!G36/Returns!G35-1</f>
        <v>-1.9762000860415463E-2</v>
      </c>
      <c r="H36" s="8">
        <f>Returns!H36/Returns!H35-1</f>
        <v>1.7256255392579245E-3</v>
      </c>
      <c r="J36" s="6">
        <v>40087</v>
      </c>
      <c r="K36">
        <v>1.0840505869256835E-2</v>
      </c>
      <c r="L36">
        <v>6.4039170029991863E-3</v>
      </c>
      <c r="M36">
        <v>-0.12168658393617017</v>
      </c>
    </row>
    <row r="37" spans="1:13" customFormat="1">
      <c r="A37" s="6">
        <v>40119</v>
      </c>
      <c r="B37" s="8">
        <f>Returns!B37/Returns!B36-1</f>
        <v>6.0530436023788381E-2</v>
      </c>
      <c r="C37" s="8">
        <f>Returns!C37/Returns!C36-1</f>
        <v>8.7443119801071223E-2</v>
      </c>
      <c r="D37" s="8">
        <f>Returns!D37/Returns!D36-1</f>
        <v>5.3536153909664819E-2</v>
      </c>
      <c r="E37" s="8">
        <f>Returns!E37/Returns!E36-1</f>
        <v>2.8571460682262018E-2</v>
      </c>
      <c r="F37" s="8">
        <f>Returns!F37/Returns!F36-1</f>
        <v>-0.11460464603943321</v>
      </c>
      <c r="G37" s="8">
        <f>Returns!G37/Returns!G36-1</f>
        <v>5.736406198137356E-2</v>
      </c>
      <c r="H37" s="8">
        <f>Returns!H37/Returns!H36-1</f>
        <v>-0.13608957795004317</v>
      </c>
      <c r="J37" s="6">
        <v>40119</v>
      </c>
      <c r="K37">
        <v>-0.12118774240210396</v>
      </c>
      <c r="L37">
        <v>5.3734474625677861E-2</v>
      </c>
      <c r="M37">
        <v>-0.15808935915490371</v>
      </c>
    </row>
    <row r="38" spans="1:13" customFormat="1">
      <c r="A38" s="6">
        <v>40148</v>
      </c>
      <c r="B38" s="8">
        <f>Returns!B38/Returns!B37-1</f>
        <v>5.4124393307059204E-2</v>
      </c>
      <c r="C38" s="8">
        <f>Returns!C38/Returns!C37-1</f>
        <v>6.3430521052401989E-2</v>
      </c>
      <c r="D38" s="8">
        <f>Returns!D38/Returns!D37-1</f>
        <v>-9.164779254306743E-2</v>
      </c>
      <c r="E38" s="8">
        <f>Returns!E38/Returns!E37-1</f>
        <v>-1.345465438344351E-2</v>
      </c>
      <c r="F38" s="8">
        <f>Returns!F38/Returns!F37-1</f>
        <v>5.412237206682291E-2</v>
      </c>
      <c r="G38" s="8">
        <f>Returns!G38/Returns!G37-1</f>
        <v>1.7770571188400419E-2</v>
      </c>
      <c r="H38" s="8">
        <f>Returns!H38/Returns!H37-1</f>
        <v>0.33898305084745783</v>
      </c>
      <c r="J38" s="6">
        <v>40148</v>
      </c>
      <c r="K38">
        <v>0.31568826812423406</v>
      </c>
      <c r="L38">
        <v>-0.13313633378800196</v>
      </c>
      <c r="M38">
        <v>5.8214125481366539E-3</v>
      </c>
    </row>
    <row r="39" spans="1:13" customFormat="1">
      <c r="A39" s="6">
        <v>40182</v>
      </c>
      <c r="B39" s="8">
        <f>Returns!B39/Returns!B38-1</f>
        <v>-8.8596746064087739E-2</v>
      </c>
      <c r="C39" s="8">
        <f>Returns!C39/Returns!C38-1</f>
        <v>-0.14523047658804678</v>
      </c>
      <c r="D39" s="8">
        <f>Returns!D39/Returns!D38-1</f>
        <v>-5.5140038824060933E-2</v>
      </c>
      <c r="E39" s="8">
        <f>Returns!E39/Returns!E38-1</f>
        <v>-6.3254937847640247E-2</v>
      </c>
      <c r="F39" s="8">
        <f>Returns!F39/Returns!F38-1</f>
        <v>9.9700815991133007E-2</v>
      </c>
      <c r="G39" s="8">
        <f>Returns!G39/Returns!G38-1</f>
        <v>-3.6974246154947377E-2</v>
      </c>
      <c r="H39" s="8">
        <f>Returns!H39/Returns!H38-1</f>
        <v>-0.12583767684288905</v>
      </c>
      <c r="J39" s="6">
        <v>40182</v>
      </c>
      <c r="K39">
        <v>-0.12433030604822526</v>
      </c>
      <c r="L39">
        <v>4.9370040412291392E-2</v>
      </c>
      <c r="M39">
        <v>0.19062693890239521</v>
      </c>
    </row>
    <row r="40" spans="1:13" customFormat="1">
      <c r="A40" s="6">
        <v>40210</v>
      </c>
      <c r="B40" s="8">
        <f>Returns!B40/Returns!B39-1</f>
        <v>6.5396144570079029E-2</v>
      </c>
      <c r="C40" s="8">
        <f>Returns!C40/Returns!C39-1</f>
        <v>-5.9251489625744558E-3</v>
      </c>
      <c r="D40" s="8">
        <f>Returns!D40/Returns!D39-1</f>
        <v>1.5428342297693076E-2</v>
      </c>
      <c r="E40" s="8">
        <f>Returns!E40/Returns!E39-1</f>
        <v>1.2090513753858723E-2</v>
      </c>
      <c r="F40" s="8">
        <f>Returns!F40/Returns!F39-1</f>
        <v>-4.6210279162615664E-2</v>
      </c>
      <c r="G40" s="8">
        <f>Returns!G40/Returns!G39-1</f>
        <v>2.8513688940531301E-2</v>
      </c>
      <c r="H40" s="8">
        <f>Returns!H40/Returns!H39-1</f>
        <v>-2.7257240204429323E-2</v>
      </c>
      <c r="J40" s="6">
        <v>40210</v>
      </c>
      <c r="K40">
        <v>-3.5312936692213193E-2</v>
      </c>
      <c r="L40">
        <v>-7.4428585281816097E-3</v>
      </c>
      <c r="M40">
        <v>-3.1295677873395593E-2</v>
      </c>
    </row>
    <row r="41" spans="1:13" customFormat="1">
      <c r="A41" s="6">
        <v>40238</v>
      </c>
      <c r="B41" s="8">
        <f>Returns!B41/Returns!B40-1</f>
        <v>0.14847045371542045</v>
      </c>
      <c r="C41" s="8">
        <f>Returns!C41/Returns!C40-1</f>
        <v>7.6537574796162744E-2</v>
      </c>
      <c r="D41" s="8">
        <f>Returns!D41/Returns!D40-1</f>
        <v>3.046161206113096E-2</v>
      </c>
      <c r="E41" s="8">
        <f>Returns!E41/Returns!E40-1</f>
        <v>4.8824341225587542E-2</v>
      </c>
      <c r="F41" s="8">
        <f>Returns!F41/Returns!F40-1</f>
        <v>0.12442884488382444</v>
      </c>
      <c r="G41" s="8">
        <f>Returns!G41/Returns!G40-1</f>
        <v>5.8796426031891835E-2</v>
      </c>
      <c r="H41" s="8">
        <f>Returns!H41/Returns!H40-1</f>
        <v>0.12084063047285465</v>
      </c>
      <c r="J41" s="6">
        <v>40238</v>
      </c>
      <c r="K41">
        <v>0.19077586575788663</v>
      </c>
      <c r="L41">
        <v>7.8046948838816368E-2</v>
      </c>
      <c r="M41">
        <v>-5.1975094049292311E-3</v>
      </c>
    </row>
    <row r="42" spans="1:13" customFormat="1">
      <c r="A42" s="6">
        <v>40269</v>
      </c>
      <c r="B42" s="8">
        <f>Returns!B42/Returns!B41-1</f>
        <v>0.1110212440447127</v>
      </c>
      <c r="C42" s="8">
        <f>Returns!C42/Returns!C41-1</f>
        <v>-7.3035741645334329E-2</v>
      </c>
      <c r="D42" s="8">
        <f>Returns!D42/Returns!D41-1</f>
        <v>1.1794445646709395E-2</v>
      </c>
      <c r="E42" s="8">
        <f>Returns!E42/Returns!E41-1</f>
        <v>7.3981249946206473E-2</v>
      </c>
      <c r="F42" s="8">
        <f>Returns!F42/Returns!F41-1</f>
        <v>5.5330317912811067E-2</v>
      </c>
      <c r="G42" s="8">
        <f>Returns!G42/Returns!G41-1</f>
        <v>1.4759229883791081E-2</v>
      </c>
      <c r="H42" s="8">
        <f>Returns!H42/Returns!H41-1</f>
        <v>-5.46875E-2</v>
      </c>
      <c r="J42" s="6">
        <v>40269</v>
      </c>
      <c r="K42">
        <v>-2.6992172051306038E-2</v>
      </c>
      <c r="L42">
        <v>6.2392108299683467E-2</v>
      </c>
      <c r="M42">
        <v>6.7984771935170607E-2</v>
      </c>
    </row>
    <row r="43" spans="1:13" customFormat="1">
      <c r="A43" s="6">
        <v>40301</v>
      </c>
      <c r="B43" s="8">
        <f>Returns!B43/Returns!B42-1</f>
        <v>-1.6124692045491384E-2</v>
      </c>
      <c r="C43" s="8">
        <f>Returns!C43/Returns!C42-1</f>
        <v>-7.6222164269132531E-2</v>
      </c>
      <c r="D43" s="8">
        <f>Returns!D43/Returns!D42-1</f>
        <v>-0.10180622279784257</v>
      </c>
      <c r="E43" s="8">
        <f>Returns!E43/Returns!E42-1</f>
        <v>-8.4482475011915859E-2</v>
      </c>
      <c r="F43" s="8">
        <f>Returns!F43/Returns!F42-1</f>
        <v>-9.9254398880784578E-2</v>
      </c>
      <c r="G43" s="8">
        <f>Returns!G43/Returns!G42-1</f>
        <v>-8.1975841910334468E-2</v>
      </c>
      <c r="H43" s="8">
        <f>Returns!H43/Returns!H42-1</f>
        <v>-0.13347107438016526</v>
      </c>
      <c r="J43" s="6">
        <v>40301</v>
      </c>
      <c r="K43">
        <v>-0.2081991115568404</v>
      </c>
      <c r="L43">
        <v>-7.9479028459989984E-2</v>
      </c>
      <c r="M43">
        <v>3.9424848360075711E-2</v>
      </c>
    </row>
    <row r="44" spans="1:13" customFormat="1">
      <c r="A44" s="6">
        <v>40330</v>
      </c>
      <c r="B44" s="8">
        <f>Returns!B44/Returns!B43-1</f>
        <v>-2.0826911100824907E-2</v>
      </c>
      <c r="C44" s="8">
        <f>Returns!C44/Returns!C43-1</f>
        <v>-8.3767484361244149E-2</v>
      </c>
      <c r="D44" s="8">
        <f>Returns!D44/Returns!D43-1</f>
        <v>-5.6070124869176952E-2</v>
      </c>
      <c r="E44" s="8">
        <f>Returns!E44/Returns!E43-1</f>
        <v>-8.1359121323769101E-2</v>
      </c>
      <c r="F44" s="8">
        <f>Returns!F44/Returns!F43-1</f>
        <v>-3.7473003455721243E-2</v>
      </c>
      <c r="G44" s="8">
        <f>Returns!G44/Returns!G43-1</f>
        <v>-5.3882442026415123E-2</v>
      </c>
      <c r="H44" s="8">
        <f>Returns!H44/Returns!H43-1</f>
        <v>-0.14401525989508823</v>
      </c>
      <c r="J44" s="6">
        <v>40330</v>
      </c>
      <c r="K44">
        <v>-0.18486172401331791</v>
      </c>
      <c r="L44">
        <v>-2.01231607620318E-2</v>
      </c>
      <c r="M44">
        <v>6.9740956839501461E-2</v>
      </c>
    </row>
    <row r="45" spans="1:13" customFormat="1">
      <c r="A45" s="6">
        <v>40360</v>
      </c>
      <c r="B45" s="8">
        <f>Returns!B45/Returns!B44-1</f>
        <v>2.2740807263780916E-2</v>
      </c>
      <c r="C45" s="8">
        <f>Returns!C45/Returns!C44-1</f>
        <v>8.9673046131436118E-2</v>
      </c>
      <c r="D45" s="8">
        <f>Returns!D45/Returns!D44-1</f>
        <v>4.5733308444148024E-2</v>
      </c>
      <c r="E45" s="8">
        <f>Returns!E45/Returns!E44-1</f>
        <v>0.12304742581517569</v>
      </c>
      <c r="F45" s="8">
        <f>Returns!F45/Returns!F44-1</f>
        <v>-5.5061430166152614E-2</v>
      </c>
      <c r="G45" s="8">
        <f>Returns!G45/Returns!G44-1</f>
        <v>6.8777849911552336E-2</v>
      </c>
      <c r="H45" s="8">
        <f>Returns!H45/Returns!H44-1</f>
        <v>-0.10974930362116986</v>
      </c>
      <c r="J45" s="6">
        <v>40360</v>
      </c>
      <c r="K45">
        <v>-5.8457083099641233E-2</v>
      </c>
      <c r="L45">
        <v>0.10429537312296655</v>
      </c>
      <c r="M45">
        <v>-0.14391261469623931</v>
      </c>
    </row>
    <row r="46" spans="1:13" customFormat="1">
      <c r="A46" s="6">
        <v>40392</v>
      </c>
      <c r="B46" s="8">
        <f>Returns!B46/Returns!B45-1</f>
        <v>-5.5004774794201183E-2</v>
      </c>
      <c r="C46" s="8">
        <f>Returns!C46/Returns!C45-1</f>
        <v>-7.1836695984783816E-2</v>
      </c>
      <c r="D46" s="8">
        <f>Returns!D46/Returns!D45-1</f>
        <v>-2.4636225471331707E-3</v>
      </c>
      <c r="E46" s="8">
        <f>Returns!E46/Returns!E45-1</f>
        <v>-1.8858585555423857E-2</v>
      </c>
      <c r="F46" s="8">
        <f>Returns!F46/Returns!F45-1</f>
        <v>-6.904446700020539E-2</v>
      </c>
      <c r="G46" s="8">
        <f>Returns!G46/Returns!G45-1</f>
        <v>-4.7449184040287196E-2</v>
      </c>
      <c r="H46" s="8">
        <f>Returns!H46/Returns!H45-1</f>
        <v>-0.16020025031289109</v>
      </c>
      <c r="J46" s="6">
        <v>40392</v>
      </c>
      <c r="K46">
        <v>-0.19147021880454332</v>
      </c>
      <c r="L46">
        <v>-3.8862796914377606E-3</v>
      </c>
      <c r="M46">
        <v>2.0960080544526472E-2</v>
      </c>
    </row>
    <row r="47" spans="1:13" customFormat="1">
      <c r="A47" s="6">
        <v>40422</v>
      </c>
      <c r="B47" s="8">
        <f>Returns!B47/Returns!B46-1</f>
        <v>0.16721508502605276</v>
      </c>
      <c r="C47" s="8">
        <f>Returns!C47/Returns!C46-1</f>
        <v>0.16837041237681771</v>
      </c>
      <c r="D47" s="8">
        <f>Returns!D47/Returns!D46-1</f>
        <v>4.5339206884241978E-2</v>
      </c>
      <c r="E47" s="8">
        <f>Returns!E47/Returns!E46-1</f>
        <v>9.408752294985856E-2</v>
      </c>
      <c r="F47" s="8">
        <f>Returns!F47/Returns!F46-1</f>
        <v>0.1103358134020338</v>
      </c>
      <c r="G47" s="8">
        <f>Returns!G47/Returns!G46-1</f>
        <v>8.7551102944020132E-2</v>
      </c>
      <c r="H47" s="8">
        <f>Returns!H47/Returns!H46-1</f>
        <v>-4.5454545454545525E-2</v>
      </c>
      <c r="J47" s="6">
        <v>40422</v>
      </c>
      <c r="K47">
        <v>7.9481012761484449E-2</v>
      </c>
      <c r="L47">
        <v>0.2085977172173715</v>
      </c>
      <c r="M47">
        <v>-0.1035778277128173</v>
      </c>
    </row>
    <row r="48" spans="1:13" customFormat="1">
      <c r="A48" s="6">
        <v>40452</v>
      </c>
      <c r="B48" s="8">
        <f>Returns!B48/Returns!B47-1</f>
        <v>6.0722456143857739E-2</v>
      </c>
      <c r="C48" s="8">
        <f>Returns!C48/Returns!C47-1</f>
        <v>0.16719589407940116</v>
      </c>
      <c r="D48" s="8">
        <f>Returns!D48/Returns!D47-1</f>
        <v>7.6064054649158441E-2</v>
      </c>
      <c r="E48" s="8">
        <f>Returns!E48/Returns!E47-1</f>
        <v>1.9123865924189243E-2</v>
      </c>
      <c r="F48" s="8">
        <f>Returns!F48/Returns!F47-1</f>
        <v>2.5128918221181795E-2</v>
      </c>
      <c r="G48" s="8">
        <f>Returns!G48/Returns!G47-1</f>
        <v>3.6855994397076541E-2</v>
      </c>
      <c r="H48" s="8">
        <f>Returns!H48/Returns!H47-1</f>
        <v>-7.9625292740046705E-2</v>
      </c>
      <c r="J48" s="6">
        <v>40452</v>
      </c>
      <c r="K48">
        <v>7.0554845754605688E-5</v>
      </c>
      <c r="L48">
        <v>0.14468589019372385</v>
      </c>
      <c r="M48">
        <v>-0.13556376611279469</v>
      </c>
    </row>
    <row r="49" spans="1:13" customFormat="1">
      <c r="A49" s="6">
        <v>40483</v>
      </c>
      <c r="B49" s="8">
        <f>Returns!B49/Returns!B48-1</f>
        <v>3.3789639631887303E-2</v>
      </c>
      <c r="C49" s="8">
        <f>Returns!C49/Returns!C48-1</f>
        <v>-9.4492461988553322E-2</v>
      </c>
      <c r="D49" s="8">
        <f>Returns!D49/Returns!D48-1</f>
        <v>5.2759541099393958E-2</v>
      </c>
      <c r="E49" s="8">
        <f>Returns!E49/Returns!E48-1</f>
        <v>-1.1345304377700649E-2</v>
      </c>
      <c r="F49" s="8">
        <f>Returns!F49/Returns!F48-1</f>
        <v>8.796060351982482E-2</v>
      </c>
      <c r="G49" s="8">
        <f>Returns!G49/Returns!G48-1</f>
        <v>-2.2902497989432113E-3</v>
      </c>
      <c r="H49" s="8">
        <f>Returns!H49/Returns!H48-1</f>
        <v>0.24173027989821882</v>
      </c>
      <c r="J49" s="6">
        <v>40483</v>
      </c>
      <c r="K49">
        <v>0.22080837949073606</v>
      </c>
      <c r="L49">
        <v>-9.606109911013852E-2</v>
      </c>
      <c r="M49">
        <v>0.12539592097049901</v>
      </c>
    </row>
    <row r="50" spans="1:13" customFormat="1">
      <c r="A50" s="6">
        <v>40513</v>
      </c>
      <c r="B50" s="8">
        <f>Returns!B50/Returns!B49-1</f>
        <v>3.6670424888517905E-2</v>
      </c>
      <c r="C50" s="8">
        <f>Returns!C50/Returns!C49-1</f>
        <v>6.8848897221749361E-2</v>
      </c>
      <c r="D50" s="8">
        <f>Returns!D50/Returns!D49-1</f>
        <v>5.1178954453741099E-2</v>
      </c>
      <c r="E50" s="8">
        <f>Returns!E50/Returns!E49-1</f>
        <v>0.12696055609935009</v>
      </c>
      <c r="F50" s="8">
        <f>Returns!F50/Returns!F49-1</f>
        <v>0.1868583594823563</v>
      </c>
      <c r="G50" s="8">
        <f>Returns!G50/Returns!G49-1</f>
        <v>6.5300040489854716E-2</v>
      </c>
      <c r="H50" s="8">
        <f>Returns!H50/Returns!H49-1</f>
        <v>0.37704918032786883</v>
      </c>
      <c r="J50" s="6">
        <v>40513</v>
      </c>
      <c r="K50">
        <v>0.44727045664004844</v>
      </c>
      <c r="L50">
        <v>5.8217968225275918E-3</v>
      </c>
      <c r="M50">
        <v>2.4823607425862579E-2</v>
      </c>
    </row>
    <row r="51" spans="1:13" customFormat="1">
      <c r="A51" s="6">
        <v>40546</v>
      </c>
      <c r="B51" s="8">
        <f>Returns!B51/Returns!B50-1</f>
        <v>5.1959314890461572E-2</v>
      </c>
      <c r="C51" s="8">
        <f>Returns!C51/Returns!C50-1</f>
        <v>1.075818794272565E-2</v>
      </c>
      <c r="D51" s="8">
        <f>Returns!D51/Returns!D50-1</f>
        <v>0.10339162709402183</v>
      </c>
      <c r="E51" s="8">
        <f>Returns!E51/Returns!E50-1</f>
        <v>4.0328828928677618E-2</v>
      </c>
      <c r="F51" s="8">
        <f>Returns!F51/Returns!F50-1</f>
        <v>9.6885764617746339E-2</v>
      </c>
      <c r="G51" s="8">
        <f>Returns!G51/Returns!G50-1</f>
        <v>2.2645573980086819E-2</v>
      </c>
      <c r="H51" s="8">
        <f>Returns!H51/Returns!H50-1</f>
        <v>-3.1746031746031744E-2</v>
      </c>
      <c r="J51" s="6">
        <v>40546</v>
      </c>
      <c r="K51">
        <v>3.5270085740994113E-2</v>
      </c>
      <c r="L51">
        <v>0.11795920575980642</v>
      </c>
      <c r="M51">
        <v>2.1031626054529459E-2</v>
      </c>
    </row>
    <row r="52" spans="1:13" customFormat="1">
      <c r="A52" s="6">
        <v>40575</v>
      </c>
      <c r="B52" s="8">
        <f>Returns!B52/Returns!B51-1</f>
        <v>4.0934824713514839E-2</v>
      </c>
      <c r="C52" s="8">
        <f>Returns!C52/Returns!C51-1</f>
        <v>2.1720271337550612E-2</v>
      </c>
      <c r="D52" s="8">
        <f>Returns!D52/Returns!D51-1</f>
        <v>6.5700945451531156E-2</v>
      </c>
      <c r="E52" s="8">
        <f>Returns!E52/Returns!E51-1</f>
        <v>0.10113051999626932</v>
      </c>
      <c r="F52" s="8">
        <f>Returns!F52/Returns!F51-1</f>
        <v>0.11318818911064699</v>
      </c>
      <c r="G52" s="8">
        <f>Returns!G52/Returns!G51-1</f>
        <v>3.1956564052952219E-2</v>
      </c>
      <c r="H52" s="8">
        <f>Returns!H52/Returns!H51-1</f>
        <v>9.4774590163934525E-2</v>
      </c>
      <c r="J52" s="6">
        <v>40575</v>
      </c>
      <c r="K52">
        <v>0.15904954739157107</v>
      </c>
      <c r="L52">
        <v>7.6330860178600218E-2</v>
      </c>
      <c r="M52">
        <v>1.7712428411447278E-2</v>
      </c>
    </row>
    <row r="53" spans="1:13" customFormat="1">
      <c r="A53" s="6">
        <v>40603</v>
      </c>
      <c r="B53" s="8">
        <f>Returns!B53/Returns!B52-1</f>
        <v>-1.3306510666537763E-2</v>
      </c>
      <c r="C53" s="8">
        <f>Returns!C53/Returns!C52-1</f>
        <v>-4.3430015395040211E-2</v>
      </c>
      <c r="D53" s="8">
        <f>Returns!D53/Returns!D52-1</f>
        <v>-1.6368552860170804E-2</v>
      </c>
      <c r="E53" s="8">
        <f>Returns!E53/Returns!E52-1</f>
        <v>3.6048110282554502E-2</v>
      </c>
      <c r="F53" s="8">
        <f>Returns!F53/Returns!F52-1</f>
        <v>5.8197486477009397E-2</v>
      </c>
      <c r="G53" s="8">
        <f>Returns!G53/Returns!G52-1</f>
        <v>-1.0473132038185673E-3</v>
      </c>
      <c r="H53" s="8">
        <f>Returns!H53/Returns!H52-1</f>
        <v>4.1179223210107585E-2</v>
      </c>
      <c r="J53" s="6">
        <v>40603</v>
      </c>
      <c r="K53">
        <v>5.1432456477490993E-2</v>
      </c>
      <c r="L53">
        <v>7.5660973155078914E-3</v>
      </c>
      <c r="M53">
        <v>6.338188451066773E-2</v>
      </c>
    </row>
    <row r="54" spans="1:13" customFormat="1">
      <c r="A54" s="6">
        <v>40634</v>
      </c>
      <c r="B54" s="8">
        <f>Returns!B54/Returns!B53-1</f>
        <v>4.6482839015584698E-3</v>
      </c>
      <c r="C54" s="8">
        <f>Returns!C54/Returns!C53-1</f>
        <v>-7.2704400123494883E-2</v>
      </c>
      <c r="D54" s="8">
        <f>Returns!D54/Returns!D53-1</f>
        <v>4.5762598231642748E-2</v>
      </c>
      <c r="E54" s="8">
        <f>Returns!E54/Returns!E53-1</f>
        <v>1.8141292826236555E-2</v>
      </c>
      <c r="F54" s="8">
        <f>Returns!F54/Returns!F53-1</f>
        <v>-5.0972700033645624E-2</v>
      </c>
      <c r="G54" s="8">
        <f>Returns!G54/Returns!G53-1</f>
        <v>2.8495380443795071E-2</v>
      </c>
      <c r="H54" s="8">
        <f>Returns!H54/Returns!H53-1</f>
        <v>-0.11235955056179769</v>
      </c>
      <c r="J54" s="6">
        <v>40634</v>
      </c>
      <c r="K54">
        <v>-0.12167456890588642</v>
      </c>
      <c r="L54">
        <v>1.6422333440343384E-2</v>
      </c>
      <c r="M54">
        <v>9.1893532510521989E-3</v>
      </c>
    </row>
    <row r="55" spans="1:13" customFormat="1">
      <c r="A55" s="6">
        <v>40665</v>
      </c>
      <c r="B55" s="8">
        <f>Returns!B55/Returns!B54-1</f>
        <v>-6.5689908661352714E-3</v>
      </c>
      <c r="C55" s="8">
        <f>Returns!C55/Returns!C54-1</f>
        <v>-2.7715458791660041E-2</v>
      </c>
      <c r="D55" s="8">
        <f>Returns!D55/Returns!D54-1</f>
        <v>-4.5880889277755799E-2</v>
      </c>
      <c r="E55" s="8">
        <f>Returns!E55/Returns!E54-1</f>
        <v>-3.3979827852852917E-2</v>
      </c>
      <c r="F55" s="8">
        <f>Returns!F55/Returns!F54-1</f>
        <v>-2.6444121267360621E-2</v>
      </c>
      <c r="G55" s="8">
        <f>Returns!G55/Returns!G54-1</f>
        <v>-1.3500952766930641E-2</v>
      </c>
      <c r="H55" s="8">
        <f>Returns!H55/Returns!H54-1</f>
        <v>-0.14531645569620255</v>
      </c>
      <c r="J55" s="6">
        <v>40665</v>
      </c>
      <c r="K55">
        <v>-0.15321985554643483</v>
      </c>
      <c r="L55">
        <v>3.000803749911083E-2</v>
      </c>
      <c r="M55">
        <v>1.6833095250455628E-2</v>
      </c>
    </row>
    <row r="56" spans="1:13" customFormat="1">
      <c r="A56" s="6">
        <v>40695</v>
      </c>
      <c r="B56" s="8">
        <f>Returns!B56/Returns!B55-1</f>
        <v>-3.4959528792681271E-2</v>
      </c>
      <c r="C56" s="8">
        <f>Returns!C56/Returns!C55-1</f>
        <v>-4.2796132225409012E-2</v>
      </c>
      <c r="D56" s="8">
        <f>Returns!D56/Returns!D55-1</f>
        <v>-2.5039024688357947E-2</v>
      </c>
      <c r="E56" s="8">
        <f>Returns!E56/Returns!E55-1</f>
        <v>-1.9731300086511694E-2</v>
      </c>
      <c r="F56" s="8">
        <f>Returns!F56/Returns!F55-1</f>
        <v>-7.0181847436165734E-2</v>
      </c>
      <c r="G56" s="8">
        <f>Returns!G56/Returns!G55-1</f>
        <v>-1.825746126569705E-2</v>
      </c>
      <c r="H56" s="8">
        <f>Returns!H56/Returns!H55-1</f>
        <v>3.9099526066350698E-2</v>
      </c>
      <c r="J56" s="6">
        <v>40695</v>
      </c>
      <c r="K56">
        <v>-1.3814837995300089E-2</v>
      </c>
      <c r="L56">
        <v>-9.6513050357017044E-2</v>
      </c>
      <c r="M56">
        <v>3.3630732514723718E-3</v>
      </c>
    </row>
    <row r="57" spans="1:13" customFormat="1">
      <c r="A57" s="6">
        <v>40725</v>
      </c>
      <c r="B57" s="8">
        <f>Returns!B57/Returns!B56-1</f>
        <v>0.16328528124134079</v>
      </c>
      <c r="C57" s="8">
        <f>Returns!C57/Returns!C56-1</f>
        <v>0.19216793081294781</v>
      </c>
      <c r="D57" s="8">
        <f>Returns!D57/Returns!D56-1</f>
        <v>-1.9537826526977553E-2</v>
      </c>
      <c r="E57" s="8">
        <f>Returns!E57/Returns!E56-1</f>
        <v>1.1474138507709064E-2</v>
      </c>
      <c r="F57" s="8">
        <f>Returns!F57/Returns!F56-1</f>
        <v>-1.7598505805123121E-2</v>
      </c>
      <c r="G57" s="8">
        <f>Returns!G57/Returns!G56-1</f>
        <v>-2.1474425791952023E-2</v>
      </c>
      <c r="H57" s="8">
        <f>Returns!H57/Returns!H56-1</f>
        <v>-0.2172177879133409</v>
      </c>
      <c r="J57" s="6">
        <v>40725</v>
      </c>
      <c r="K57">
        <v>-0.14773896209444334</v>
      </c>
      <c r="L57">
        <v>0.16647603627999671</v>
      </c>
      <c r="M57">
        <v>-0.16059540378234383</v>
      </c>
    </row>
    <row r="58" spans="1:13" customFormat="1">
      <c r="A58" s="6">
        <v>40756</v>
      </c>
      <c r="B58" s="8">
        <f>Returns!B58/Returns!B57-1</f>
        <v>-1.4469348894651235E-2</v>
      </c>
      <c r="C58" s="8">
        <f>Returns!C58/Returns!C57-1</f>
        <v>-0.10391091347817205</v>
      </c>
      <c r="D58" s="8">
        <f>Returns!D58/Returns!D57-1</f>
        <v>-6.6188560936414231E-2</v>
      </c>
      <c r="E58" s="8">
        <f>Returns!E58/Returns!E57-1</f>
        <v>-4.2185556156332571E-2</v>
      </c>
      <c r="F58" s="8">
        <f>Returns!F58/Returns!F57-1</f>
        <v>-9.337296841765097E-2</v>
      </c>
      <c r="G58" s="8">
        <f>Returns!G58/Returns!G57-1</f>
        <v>-5.6791107463597612E-2</v>
      </c>
      <c r="H58" s="8">
        <f>Returns!H58/Returns!H57-1</f>
        <v>-0.30662782228696284</v>
      </c>
      <c r="J58" s="6">
        <v>40756</v>
      </c>
      <c r="K58">
        <v>-0.34546975036927041</v>
      </c>
      <c r="L58">
        <v>2.7008526887369794E-2</v>
      </c>
      <c r="M58">
        <v>4.218343788474152E-2</v>
      </c>
    </row>
    <row r="59" spans="1:13" customFormat="1">
      <c r="A59" s="6">
        <v>40787</v>
      </c>
      <c r="B59" s="8">
        <f>Returns!B59/Returns!B58-1</f>
        <v>-9.120917792877048E-3</v>
      </c>
      <c r="C59" s="8">
        <f>Returns!C59/Returns!C58-1</f>
        <v>-4.7914841251812224E-2</v>
      </c>
      <c r="D59" s="8">
        <f>Returns!D59/Returns!D58-1</f>
        <v>-1.8778687217591017E-2</v>
      </c>
      <c r="E59" s="8">
        <f>Returns!E59/Returns!E58-1</f>
        <v>-6.3233571985982562E-2</v>
      </c>
      <c r="F59" s="8">
        <f>Returns!F59/Returns!F58-1</f>
        <v>-0.21742908517094239</v>
      </c>
      <c r="G59" s="8">
        <f>Returns!G59/Returns!G58-1</f>
        <v>-7.1761988303760127E-2</v>
      </c>
      <c r="H59" s="8">
        <f>Returns!H59/Returns!H58-1</f>
        <v>1.3655462184873901E-2</v>
      </c>
      <c r="J59" s="6">
        <v>40787</v>
      </c>
      <c r="K59">
        <v>-0.1095016990191069</v>
      </c>
      <c r="L59">
        <v>-0.2059516064124946</v>
      </c>
      <c r="M59">
        <v>-6.3589336912531727E-2</v>
      </c>
    </row>
    <row r="60" spans="1:13" customFormat="1">
      <c r="A60" s="6">
        <v>40819</v>
      </c>
      <c r="B60" s="8">
        <f>Returns!B60/Returns!B59-1</f>
        <v>6.1523153768886285E-2</v>
      </c>
      <c r="C60" s="8">
        <f>Returns!C60/Returns!C59-1</f>
        <v>0.15066785070964506</v>
      </c>
      <c r="D60" s="8">
        <f>Returns!D60/Returns!D59-1</f>
        <v>7.5175558190846203E-2</v>
      </c>
      <c r="E60" s="8">
        <f>Returns!E60/Returns!E59-1</f>
        <v>0.13457193476769502</v>
      </c>
      <c r="F60" s="8">
        <f>Returns!F60/Returns!F59-1</f>
        <v>0.38357669363510216</v>
      </c>
      <c r="G60" s="8">
        <f>Returns!G60/Returns!G59-1</f>
        <v>0.10772303853581011</v>
      </c>
      <c r="H60" s="8">
        <f>Returns!H60/Returns!H59-1</f>
        <v>4.7668393782383411E-2</v>
      </c>
      <c r="J60" s="6">
        <v>40819</v>
      </c>
      <c r="K60">
        <v>0.27592752778086332</v>
      </c>
      <c r="L60">
        <v>0.35756838302447147</v>
      </c>
      <c r="M60">
        <v>5.5469823509299215E-2</v>
      </c>
    </row>
    <row r="61" spans="1:13" customFormat="1">
      <c r="A61" s="6">
        <v>40848</v>
      </c>
      <c r="B61" s="8">
        <f>Returns!B61/Returns!B60-1</f>
        <v>-5.5783422997084164E-2</v>
      </c>
      <c r="C61" s="8">
        <f>Returns!C61/Returns!C60-1</f>
        <v>1.13897440405899E-2</v>
      </c>
      <c r="D61" s="8">
        <f>Returns!D61/Returns!D60-1</f>
        <v>3.6231242397262609E-2</v>
      </c>
      <c r="E61" s="8">
        <f>Returns!E61/Returns!E60-1</f>
        <v>-1.3490409431386907E-2</v>
      </c>
      <c r="F61" s="8">
        <f>Returns!F61/Returns!F60-1</f>
        <v>-8.9200090485880512E-2</v>
      </c>
      <c r="G61" s="8">
        <f>Returns!G61/Returns!G60-1</f>
        <v>-5.0587151935872487E-3</v>
      </c>
      <c r="H61" s="8">
        <f>Returns!H61/Returns!H60-1</f>
        <v>-5.8358061325420318E-2</v>
      </c>
      <c r="J61" s="6">
        <v>40848</v>
      </c>
      <c r="K61">
        <v>-8.1362821149675441E-2</v>
      </c>
      <c r="L61">
        <v>-2.3982012927116079E-2</v>
      </c>
      <c r="M61">
        <v>-6.3714263712494293E-2</v>
      </c>
    </row>
    <row r="62" spans="1:13" customFormat="1">
      <c r="A62" s="6">
        <v>40878</v>
      </c>
      <c r="B62" s="8">
        <f>Returns!B62/Returns!B61-1</f>
        <v>5.9654656146725937E-2</v>
      </c>
      <c r="C62" s="8">
        <f>Returns!C62/Returns!C61-1</f>
        <v>7.7595568557104588E-2</v>
      </c>
      <c r="D62" s="8">
        <f>Returns!D62/Returns!D61-1</f>
        <v>5.3704580308088889E-2</v>
      </c>
      <c r="E62" s="8">
        <f>Returns!E62/Returns!E61-1</f>
        <v>3.4818187497533959E-2</v>
      </c>
      <c r="F62" s="8">
        <f>Returns!F62/Returns!F61-1</f>
        <v>-5.4782055129772189E-2</v>
      </c>
      <c r="G62" s="8">
        <f>Returns!G62/Returns!G61-1</f>
        <v>8.532763948144062E-3</v>
      </c>
      <c r="H62" s="8">
        <f>Returns!H62/Returns!H61-1</f>
        <v>-0.12815126050420167</v>
      </c>
      <c r="J62" s="6">
        <v>40878</v>
      </c>
      <c r="K62">
        <v>-9.9024202615438053E-2</v>
      </c>
      <c r="L62">
        <v>7.7203665627332121E-2</v>
      </c>
      <c r="M62">
        <v>-0.11058816972415771</v>
      </c>
    </row>
    <row r="63" spans="1:13" customFormat="1">
      <c r="A63" s="6">
        <v>40911</v>
      </c>
      <c r="B63" s="8">
        <f>Returns!B63/Returns!B62-1</f>
        <v>0.1271110412638452</v>
      </c>
      <c r="C63" s="8">
        <f>Returns!C63/Returns!C62-1</f>
        <v>-0.10185783667272708</v>
      </c>
      <c r="D63" s="8">
        <f>Returns!D63/Returns!D62-1</f>
        <v>-1.2034070757966364E-2</v>
      </c>
      <c r="E63" s="8">
        <f>Returns!E63/Returns!E62-1</f>
        <v>-3.0827102130977058E-2</v>
      </c>
      <c r="F63" s="8">
        <f>Returns!F63/Returns!F62-1</f>
        <v>0.13966721829275097</v>
      </c>
      <c r="G63" s="8">
        <f>Returns!G63/Returns!G62-1</f>
        <v>4.3583062218506274E-2</v>
      </c>
      <c r="H63" s="8">
        <f>Returns!H63/Returns!H62-1</f>
        <v>-0.1433734939759036</v>
      </c>
      <c r="J63" s="6">
        <v>40911</v>
      </c>
      <c r="K63">
        <v>-9.1106028884249166E-2</v>
      </c>
      <c r="L63">
        <v>0.13406630142266057</v>
      </c>
      <c r="M63">
        <v>0.15667826441331825</v>
      </c>
    </row>
    <row r="64" spans="1:13" customFormat="1">
      <c r="A64" s="6">
        <v>40940</v>
      </c>
      <c r="B64" s="8">
        <f>Returns!B64/Returns!B63-1</f>
        <v>0.18831073250568009</v>
      </c>
      <c r="C64" s="8">
        <f>Returns!C64/Returns!C63-1</f>
        <v>6.5746086958994532E-2</v>
      </c>
      <c r="D64" s="8">
        <f>Returns!D64/Returns!D63-1</f>
        <v>3.8612967110183805E-2</v>
      </c>
      <c r="E64" s="8">
        <f>Returns!E64/Returns!E63-1</f>
        <v>6.6295319456634916E-2</v>
      </c>
      <c r="F64" s="8">
        <f>Returns!F64/Returns!F63-1</f>
        <v>2.7051553675263351E-2</v>
      </c>
      <c r="G64" s="8">
        <f>Returns!G64/Returns!G63-1</f>
        <v>4.0589464130841746E-2</v>
      </c>
      <c r="H64" s="8">
        <f>Returns!H64/Returns!H63-1</f>
        <v>0.23066104078762306</v>
      </c>
      <c r="J64" s="6">
        <v>40940</v>
      </c>
      <c r="K64">
        <v>0.24366073039119499</v>
      </c>
      <c r="L64">
        <v>-4.8436909187254198E-2</v>
      </c>
      <c r="M64">
        <v>-5.2162685588428452E-2</v>
      </c>
    </row>
    <row r="65" spans="1:13" customFormat="1">
      <c r="A65" s="6">
        <v>40969</v>
      </c>
      <c r="B65" s="8">
        <f>Returns!B65/Returns!B64-1</f>
        <v>0.10528346172948067</v>
      </c>
      <c r="C65" s="8">
        <f>Returns!C65/Returns!C64-1</f>
        <v>3.71856528191572E-2</v>
      </c>
      <c r="D65" s="8">
        <f>Returns!D65/Returns!D64-1</f>
        <v>2.6590777787085518E-3</v>
      </c>
      <c r="E65" s="8">
        <f>Returns!E65/Returns!E64-1</f>
        <v>-1.750370489305475E-2</v>
      </c>
      <c r="F65" s="8">
        <f>Returns!F65/Returns!F64-1</f>
        <v>5.2266231882077907E-2</v>
      </c>
      <c r="G65" s="8">
        <f>Returns!G65/Returns!G64-1</f>
        <v>3.1332314530530647E-2</v>
      </c>
      <c r="H65" s="8">
        <f>Returns!H65/Returns!H64-1</f>
        <v>0.19199999999999995</v>
      </c>
      <c r="J65" s="6">
        <v>40969</v>
      </c>
      <c r="K65">
        <v>0.19511034429010979</v>
      </c>
      <c r="L65">
        <v>-4.8775255926085802E-2</v>
      </c>
      <c r="M65">
        <v>6.2226307330250606E-3</v>
      </c>
    </row>
    <row r="66" spans="1:13" customFormat="1">
      <c r="A66" s="6">
        <v>41001</v>
      </c>
      <c r="B66" s="8">
        <f>Returns!B66/Returns!B65-1</f>
        <v>-2.5969539445162115E-2</v>
      </c>
      <c r="C66" s="8">
        <f>Returns!C66/Returns!C65-1</f>
        <v>-5.6749404095086109E-2</v>
      </c>
      <c r="D66" s="8">
        <f>Returns!D66/Returns!D65-1</f>
        <v>-4.4968676861254497E-3</v>
      </c>
      <c r="E66" s="8">
        <f>Returns!E66/Returns!E65-1</f>
        <v>-6.0628752980396161E-3</v>
      </c>
      <c r="F66" s="8">
        <f>Returns!F66/Returns!F65-1</f>
        <v>-4.1521098295441927E-2</v>
      </c>
      <c r="G66" s="8">
        <f>Returns!G66/Returns!G65-1</f>
        <v>-7.4974527092703802E-3</v>
      </c>
      <c r="H66" s="8">
        <f>Returns!H66/Returns!H65-1</f>
        <v>-0.22243528283796732</v>
      </c>
      <c r="J66" s="6">
        <v>41001</v>
      </c>
      <c r="K66">
        <v>-0.22204844712969626</v>
      </c>
      <c r="L66">
        <v>6.4562082101571633E-2</v>
      </c>
      <c r="M66">
        <v>1.5913683738906146E-2</v>
      </c>
    </row>
    <row r="67" spans="1:13" customFormat="1">
      <c r="A67" s="6">
        <v>41030</v>
      </c>
      <c r="B67" s="8">
        <f>Returns!B67/Returns!B66-1</f>
        <v>-1.0702396699340699E-2</v>
      </c>
      <c r="C67" s="8">
        <f>Returns!C67/Returns!C66-1</f>
        <v>-3.9662808257763249E-2</v>
      </c>
      <c r="D67" s="8">
        <f>Returns!D67/Returns!D66-1</f>
        <v>-8.3024232497203587E-2</v>
      </c>
      <c r="E67" s="8">
        <f>Returns!E67/Returns!E66-1</f>
        <v>-6.9118005218499867E-2</v>
      </c>
      <c r="F67" s="8">
        <f>Returns!F67/Returns!F66-1</f>
        <v>-0.13973043872407709</v>
      </c>
      <c r="G67" s="8">
        <f>Returns!G67/Returns!G66-1</f>
        <v>-6.265072563317764E-2</v>
      </c>
      <c r="H67" s="8">
        <f>Returns!H67/Returns!H66-1</f>
        <v>-0.1726263871763255</v>
      </c>
      <c r="J67" s="6">
        <v>41030</v>
      </c>
      <c r="K67">
        <v>-0.24133394007193026</v>
      </c>
      <c r="L67">
        <v>-6.2144197840284326E-2</v>
      </c>
      <c r="M67">
        <v>-2.1414479972492465E-2</v>
      </c>
    </row>
    <row r="68" spans="1:13" customFormat="1">
      <c r="A68" s="6">
        <v>41061</v>
      </c>
      <c r="B68" s="8">
        <f>Returns!B68/Returns!B67-1</f>
        <v>1.0852882829051502E-2</v>
      </c>
      <c r="C68" s="8">
        <f>Returns!C68/Returns!C67-1</f>
        <v>-1.3600038739871589E-3</v>
      </c>
      <c r="D68" s="8">
        <f>Returns!D68/Returns!D67-1</f>
        <v>8.8261492430625532E-2</v>
      </c>
      <c r="E68" s="8">
        <f>Returns!E68/Returns!E67-1</f>
        <v>7.3136085940075812E-2</v>
      </c>
      <c r="F68" s="8">
        <f>Returns!F68/Returns!F67-1</f>
        <v>0.14454943123094899</v>
      </c>
      <c r="G68" s="8">
        <f>Returns!G68/Returns!G67-1</f>
        <v>3.9554982134591521E-2</v>
      </c>
      <c r="H68" s="8">
        <f>Returns!H68/Returns!H67-1</f>
        <v>8.6438152011922398E-2</v>
      </c>
      <c r="J68" s="6">
        <v>41061</v>
      </c>
      <c r="K68">
        <v>0.15782569478387781</v>
      </c>
      <c r="L68">
        <v>9.2611123326506395E-2</v>
      </c>
      <c r="M68">
        <v>5.4657749646830019E-2</v>
      </c>
    </row>
    <row r="69" spans="1:13" customFormat="1">
      <c r="A69" s="6">
        <v>41092</v>
      </c>
      <c r="B69" s="8">
        <f>Returns!B69/Returns!B68-1</f>
        <v>4.5821849380705659E-2</v>
      </c>
      <c r="C69" s="8">
        <f>Returns!C69/Returns!C68-1</f>
        <v>9.1195864893386824E-2</v>
      </c>
      <c r="D69" s="8">
        <f>Returns!D69/Returns!D68-1</f>
        <v>1.4958583108448664E-2</v>
      </c>
      <c r="E69" s="8">
        <f>Returns!E69/Returns!E68-1</f>
        <v>3.8672940163345659E-2</v>
      </c>
      <c r="F69" s="8">
        <f>Returns!F69/Returns!F68-1</f>
        <v>0.13871660695756916</v>
      </c>
      <c r="G69" s="8">
        <f>Returns!G69/Returns!G68-1</f>
        <v>1.2597574126154365E-2</v>
      </c>
      <c r="H69" s="8">
        <f>Returns!H69/Returns!H68-1</f>
        <v>-0.17832647462277096</v>
      </c>
      <c r="J69" s="6">
        <v>41092</v>
      </c>
      <c r="K69">
        <v>-6.410347523621239E-2</v>
      </c>
      <c r="L69">
        <v>0.23529460573464472</v>
      </c>
      <c r="M69">
        <v>-6.594395893884092E-3</v>
      </c>
    </row>
    <row r="70" spans="1:13" customFormat="1">
      <c r="A70" s="6">
        <v>41122</v>
      </c>
      <c r="B70" s="8">
        <f>Returns!B70/Returns!B69-1</f>
        <v>9.3876963937702174E-2</v>
      </c>
      <c r="C70" s="8">
        <f>Returns!C70/Returns!C69-1</f>
        <v>8.2341928799030129E-2</v>
      </c>
      <c r="D70" s="8">
        <f>Returns!D70/Returns!D69-1</f>
        <v>1.1713750579531945E-2</v>
      </c>
      <c r="E70" s="8">
        <f>Returns!E70/Returns!E69-1</f>
        <v>3.1738664654637816E-2</v>
      </c>
      <c r="F70" s="8">
        <f>Returns!F70/Returns!F69-1</f>
        <v>0.14360442604513324</v>
      </c>
      <c r="G70" s="8">
        <f>Returns!G70/Returns!G69-1</f>
        <v>1.9763369680148246E-2</v>
      </c>
      <c r="H70" s="8">
        <f>Returns!H70/Returns!H69-1</f>
        <v>-5.008347245408995E-3</v>
      </c>
      <c r="J70" s="6">
        <v>41122</v>
      </c>
      <c r="K70">
        <v>8.2500343453188629E-2</v>
      </c>
      <c r="L70">
        <v>0.14362779331550046</v>
      </c>
      <c r="M70">
        <v>8.9747773675096666E-3</v>
      </c>
    </row>
    <row r="71" spans="1:13" customFormat="1">
      <c r="A71" s="6">
        <v>41156</v>
      </c>
      <c r="B71" s="8">
        <f>Returns!B71/Returns!B70-1</f>
        <v>2.7959866763955787E-3</v>
      </c>
      <c r="C71" s="8">
        <f>Returns!C71/Returns!C70-1</f>
        <v>0.10131522112513158</v>
      </c>
      <c r="D71" s="8">
        <f>Returns!D71/Returns!D70-1</f>
        <v>4.7537237613415106E-2</v>
      </c>
      <c r="E71" s="8">
        <f>Returns!E71/Returns!E70-1</f>
        <v>3.9229624907090699E-2</v>
      </c>
      <c r="F71" s="8">
        <f>Returns!F71/Returns!F70-1</f>
        <v>1.3435734648413522E-2</v>
      </c>
      <c r="G71" s="8">
        <f>Returns!G71/Returns!G70-1</f>
        <v>2.4236153696477025E-2</v>
      </c>
      <c r="H71" s="8">
        <f>Returns!H71/Returns!H70-1</f>
        <v>5.7046979865771785E-2</v>
      </c>
      <c r="J71" s="6">
        <v>41156</v>
      </c>
      <c r="K71">
        <v>9.3687173778729302E-2</v>
      </c>
      <c r="L71">
        <v>3.8111824647780138E-2</v>
      </c>
      <c r="M71">
        <v>-8.6080563550507513E-2</v>
      </c>
    </row>
    <row r="72" spans="1:13" customFormat="1">
      <c r="A72" s="6">
        <v>41183</v>
      </c>
      <c r="B72" s="8">
        <f>Returns!B72/Returns!B71-1</f>
        <v>-0.10760010387191299</v>
      </c>
      <c r="C72" s="8">
        <f>Returns!C72/Returns!C71-1</f>
        <v>-9.83433209345137E-2</v>
      </c>
      <c r="D72" s="8">
        <f>Returns!D72/Returns!D71-1</f>
        <v>-3.0617858684016674E-3</v>
      </c>
      <c r="E72" s="8">
        <f>Returns!E72/Returns!E71-1</f>
        <v>-5.4220952243684839E-2</v>
      </c>
      <c r="F72" s="8">
        <f>Returns!F72/Returns!F71-1</f>
        <v>-8.143948700595216E-2</v>
      </c>
      <c r="G72" s="8">
        <f>Returns!G72/Returns!G71-1</f>
        <v>-1.9789409878227415E-2</v>
      </c>
      <c r="H72" s="8">
        <f>Returns!H72/Returns!H71-1</f>
        <v>0.13492063492063489</v>
      </c>
      <c r="J72" s="6">
        <v>41183</v>
      </c>
      <c r="K72">
        <v>4.6054109976978369E-2</v>
      </c>
      <c r="L72">
        <v>-0.17937649062068867</v>
      </c>
      <c r="M72">
        <v>4.6238195141144023E-2</v>
      </c>
    </row>
    <row r="73" spans="1:13" customFormat="1">
      <c r="A73" s="6">
        <v>41214</v>
      </c>
      <c r="B73" s="8">
        <f>Returns!B73/Returns!B72-1</f>
        <v>-1.2374520683074985E-2</v>
      </c>
      <c r="C73" s="8">
        <f>Returns!C73/Returns!C72-1</f>
        <v>2.6561845775572301E-2</v>
      </c>
      <c r="D73" s="8">
        <f>Returns!D73/Returns!D72-1</f>
        <v>-2.7181707453185044E-2</v>
      </c>
      <c r="E73" s="8">
        <f>Returns!E73/Returns!E72-1</f>
        <v>-3.300711742536222E-2</v>
      </c>
      <c r="F73" s="8">
        <f>Returns!F73/Returns!F72-1</f>
        <v>0.11523850632092292</v>
      </c>
      <c r="G73" s="8">
        <f>Returns!G73/Returns!G72-1</f>
        <v>2.8467170173434031E-3</v>
      </c>
      <c r="H73" s="8">
        <f>Returns!H73/Returns!H72-1</f>
        <v>-0.14125874125874127</v>
      </c>
      <c r="J73" s="6">
        <v>41214</v>
      </c>
      <c r="K73">
        <v>-7.5379812796715656E-2</v>
      </c>
      <c r="L73">
        <v>0.15066907738538382</v>
      </c>
      <c r="M73">
        <v>5.209141718089897E-2</v>
      </c>
    </row>
    <row r="74" spans="1:13" customFormat="1">
      <c r="A74" s="6">
        <v>41246</v>
      </c>
      <c r="B74" s="8">
        <f>Returns!B74/Returns!B73-1</f>
        <v>-9.0742923280507481E-2</v>
      </c>
      <c r="C74" s="8">
        <f>Returns!C74/Returns!C73-1</f>
        <v>1.290150438015325E-2</v>
      </c>
      <c r="D74" s="8">
        <f>Returns!D74/Returns!D73-1</f>
        <v>-1.8039442424375052E-2</v>
      </c>
      <c r="E74" s="8">
        <f>Returns!E74/Returns!E73-1</f>
        <v>2.3180919898540209E-2</v>
      </c>
      <c r="F74" s="8">
        <f>Returns!F74/Returns!F73-1</f>
        <v>5.7656421137975311E-2</v>
      </c>
      <c r="G74" s="8">
        <f>Returns!G74/Returns!G73-1</f>
        <v>7.068230463864511E-3</v>
      </c>
      <c r="H74" s="8">
        <f>Returns!H74/Returns!H73-1</f>
        <v>0.1807817589576548</v>
      </c>
      <c r="J74" s="6">
        <v>41246</v>
      </c>
      <c r="K74">
        <v>0.18258647208983256</v>
      </c>
      <c r="L74">
        <v>-4.738581731171175E-2</v>
      </c>
      <c r="M74">
        <v>2.5662125869883638E-2</v>
      </c>
    </row>
    <row r="75" spans="1:13" customFormat="1">
      <c r="A75" s="6">
        <v>41276</v>
      </c>
      <c r="B75" s="8">
        <f>Returns!B75/Returns!B74-1</f>
        <v>-0.14408925478066781</v>
      </c>
      <c r="C75" s="8">
        <f>Returns!C75/Returns!C74-1</f>
        <v>6.8294208864685846E-2</v>
      </c>
      <c r="D75" s="8">
        <f>Returns!D75/Returns!D74-1</f>
        <v>3.9514714162186104E-2</v>
      </c>
      <c r="E75" s="8">
        <f>Returns!E75/Returns!E74-1</f>
        <v>6.4823406675731832E-2</v>
      </c>
      <c r="F75" s="8">
        <f>Returns!F75/Returns!F74-1</f>
        <v>0.28165306358368269</v>
      </c>
      <c r="G75" s="8">
        <f>Returns!G75/Returns!G74-1</f>
        <v>5.0428096519578469E-2</v>
      </c>
      <c r="H75" s="8">
        <f>Returns!H75/Returns!H74-1</f>
        <v>0.21517241379310348</v>
      </c>
      <c r="J75" s="6">
        <v>41276</v>
      </c>
      <c r="K75">
        <v>0.3339729106474999</v>
      </c>
      <c r="L75">
        <v>0.13552080381163506</v>
      </c>
      <c r="M75">
        <v>9.1265553689369464E-2</v>
      </c>
    </row>
    <row r="76" spans="1:13" customFormat="1">
      <c r="A76" s="6">
        <v>41306</v>
      </c>
      <c r="B76" s="8">
        <f>Returns!B76/Returns!B75-1</f>
        <v>-2.5286043912799316E-2</v>
      </c>
      <c r="C76" s="8">
        <f>Returns!C76/Returns!C75-1</f>
        <v>6.0223170605351983E-2</v>
      </c>
      <c r="D76" s="8">
        <f>Returns!D76/Returns!D75-1</f>
        <v>1.6906776906515653E-3</v>
      </c>
      <c r="E76" s="8">
        <f>Returns!E76/Returns!E75-1</f>
        <v>2.5289344642690725E-2</v>
      </c>
      <c r="F76" s="8">
        <f>Returns!F76/Returns!F75-1</f>
        <v>4.7073546431929847E-2</v>
      </c>
      <c r="G76" s="8">
        <f>Returns!G76/Returns!G75-1</f>
        <v>1.1060649195259176E-2</v>
      </c>
      <c r="H76" s="8">
        <f>Returns!H76/Returns!H75-1</f>
        <v>-0.12712826333711691</v>
      </c>
      <c r="J76" s="6">
        <v>41306</v>
      </c>
      <c r="K76">
        <v>-6.8583899078871163E-2</v>
      </c>
      <c r="L76">
        <v>0.12926994739881029</v>
      </c>
      <c r="M76">
        <v>-2.948405910637434E-2</v>
      </c>
    </row>
    <row r="77" spans="1:13" customFormat="1">
      <c r="A77" s="6">
        <v>41334</v>
      </c>
      <c r="B77" s="8">
        <f>Returns!B77/Returns!B76-1</f>
        <v>2.8545745640891074E-3</v>
      </c>
      <c r="C77" s="8">
        <f>Returns!C77/Returns!C76-1</f>
        <v>-8.7494268497914085E-3</v>
      </c>
      <c r="D77" s="8">
        <f>Returns!D77/Returns!D76-1</f>
        <v>6.25346363198509E-3</v>
      </c>
      <c r="E77" s="8">
        <f>Returns!E77/Returns!E76-1</f>
        <v>1.4255212600558842E-2</v>
      </c>
      <c r="F77" s="8">
        <f>Returns!F77/Returns!F76-1</f>
        <v>-2.1935936553456603E-3</v>
      </c>
      <c r="G77" s="8">
        <f>Returns!G77/Returns!G76-1</f>
        <v>3.5987723516956116E-2</v>
      </c>
      <c r="H77" s="8">
        <f>Returns!H77/Returns!H76-1</f>
        <v>0</v>
      </c>
      <c r="J77" s="6">
        <v>41334</v>
      </c>
      <c r="K77">
        <v>5.1493523835243037E-3</v>
      </c>
      <c r="L77">
        <v>7.7240128070871841E-3</v>
      </c>
      <c r="M77">
        <v>-3.0420603290058487E-3</v>
      </c>
    </row>
    <row r="78" spans="1:13" customFormat="1">
      <c r="A78" s="6">
        <v>41365</v>
      </c>
      <c r="B78" s="8">
        <f>Returns!B78/Returns!B77-1</f>
        <v>2.7105373486735473E-4</v>
      </c>
      <c r="C78" s="8">
        <f>Returns!C78/Returns!C77-1</f>
        <v>3.8252846506598548E-2</v>
      </c>
      <c r="D78" s="8">
        <f>Returns!D78/Returns!D77-1</f>
        <v>-1.2429301499217837E-2</v>
      </c>
      <c r="E78" s="8">
        <f>Returns!E78/Returns!E77-1</f>
        <v>2.6847406667430684E-2</v>
      </c>
      <c r="F78" s="8">
        <f>Returns!F78/Returns!F77-1</f>
        <v>-0.11365119080893626</v>
      </c>
      <c r="G78" s="8">
        <f>Returns!G78/Returns!G77-1</f>
        <v>1.8085767859252311E-2</v>
      </c>
      <c r="H78" s="8">
        <f>Returns!H78/Returns!H77-1</f>
        <v>-0.11833550065019505</v>
      </c>
      <c r="J78" s="6">
        <v>41365</v>
      </c>
      <c r="K78">
        <v>-0.13088614026967854</v>
      </c>
      <c r="L78">
        <v>7.1510887209778468E-3</v>
      </c>
      <c r="M78">
        <v>-0.10438690366006953</v>
      </c>
    </row>
    <row r="79" spans="1:13" customFormat="1">
      <c r="A79" s="6">
        <v>41395</v>
      </c>
      <c r="B79" s="8">
        <f>Returns!B79/Returns!B78-1</f>
        <v>2.2419184316332386E-2</v>
      </c>
      <c r="C79" s="8">
        <f>Returns!C79/Returns!C78-1</f>
        <v>5.6574989079180238E-2</v>
      </c>
      <c r="D79" s="8">
        <f>Returns!D79/Returns!D78-1</f>
        <v>2.3663845507336356E-2</v>
      </c>
      <c r="E79" s="8">
        <f>Returns!E79/Returns!E78-1</f>
        <v>1.4178476086713854E-2</v>
      </c>
      <c r="F79" s="8">
        <f>Returns!F79/Returns!F78-1</f>
        <v>0.10778880450665063</v>
      </c>
      <c r="G79" s="8">
        <f>Returns!G79/Returns!G78-1</f>
        <v>2.0762811721046104E-2</v>
      </c>
      <c r="H79" s="8">
        <f>Returns!H79/Returns!H78-1</f>
        <v>0.55309734513274322</v>
      </c>
      <c r="J79" s="6">
        <v>41395</v>
      </c>
      <c r="K79">
        <v>0.53469212687777756</v>
      </c>
      <c r="L79">
        <v>-0.1856664328109795</v>
      </c>
      <c r="M79">
        <v>2.6030209908531644E-2</v>
      </c>
    </row>
    <row r="80" spans="1:13" customFormat="1">
      <c r="A80" s="6">
        <v>41428</v>
      </c>
      <c r="B80" s="8">
        <f>Returns!B80/Returns!B79-1</f>
        <v>-0.11829320460797677</v>
      </c>
      <c r="C80" s="8">
        <f>Returns!C80/Returns!C79-1</f>
        <v>1.050243630618275E-2</v>
      </c>
      <c r="D80" s="8">
        <f>Returns!D80/Returns!D79-1</f>
        <v>-1.3264726152901751E-3</v>
      </c>
      <c r="E80" s="8">
        <f>Returns!E80/Returns!E79-1</f>
        <v>-3.5926738670452596E-2</v>
      </c>
      <c r="F80" s="8">
        <f>Returns!F80/Returns!F79-1</f>
        <v>-0.14422842210198972</v>
      </c>
      <c r="G80" s="8">
        <f>Returns!G80/Returns!G79-1</f>
        <v>-1.4999301636062778E-2</v>
      </c>
      <c r="H80" s="8">
        <f>Returns!H80/Returns!H79-1</f>
        <v>0.31528964862298214</v>
      </c>
      <c r="J80" s="6">
        <v>41428</v>
      </c>
      <c r="K80">
        <v>0.20483053798039663</v>
      </c>
      <c r="L80">
        <v>-0.27201832199708409</v>
      </c>
      <c r="M80">
        <v>-7.2772306480519203E-2</v>
      </c>
    </row>
    <row r="81" spans="1:13" customFormat="1">
      <c r="A81" s="6">
        <v>41456</v>
      </c>
      <c r="B81" s="8">
        <f>Returns!B81/Returns!B80-1</f>
        <v>0.14122507083370928</v>
      </c>
      <c r="C81" s="8">
        <f>Returns!C81/Returns!C80-1</f>
        <v>8.3828869011526308E-3</v>
      </c>
      <c r="D81" s="8">
        <f>Returns!D81/Returns!D80-1</f>
        <v>3.7631510479427588E-2</v>
      </c>
      <c r="E81" s="8">
        <f>Returns!E81/Returns!E80-1</f>
        <v>6.3799259502322681E-2</v>
      </c>
      <c r="F81" s="8">
        <f>Returns!F81/Returns!F80-1</f>
        <v>2.8760479549966744E-2</v>
      </c>
      <c r="G81" s="8">
        <f>Returns!G81/Returns!G80-1</f>
        <v>4.9462079815224991E-2</v>
      </c>
      <c r="H81" s="8">
        <f>Returns!H81/Returns!H80-1</f>
        <v>4.3321299638989785E-3</v>
      </c>
      <c r="J81" s="6">
        <v>41456</v>
      </c>
      <c r="K81">
        <v>3.8718298850689024E-2</v>
      </c>
      <c r="L81">
        <v>5.237048164695117E-2</v>
      </c>
      <c r="M81">
        <v>-1.4311080999304343E-2</v>
      </c>
    </row>
    <row r="82" spans="1:13" customFormat="1">
      <c r="A82" s="6">
        <v>41487</v>
      </c>
      <c r="B82" s="8">
        <f>Returns!B82/Returns!B81-1</f>
        <v>8.3766808297435214E-2</v>
      </c>
      <c r="C82" s="8">
        <f>Returns!C82/Returns!C81-1</f>
        <v>-4.6015211389305422E-2</v>
      </c>
      <c r="D82" s="8">
        <f>Returns!D82/Returns!D81-1</f>
        <v>-6.386746247229802E-2</v>
      </c>
      <c r="E82" s="8">
        <f>Returns!E82/Returns!E81-1</f>
        <v>-3.546842803501149E-2</v>
      </c>
      <c r="F82" s="8">
        <f>Returns!F82/Returns!F81-1</f>
        <v>-6.5372338045577294E-4</v>
      </c>
      <c r="G82" s="8">
        <f>Returns!G82/Returns!G81-1</f>
        <v>-3.1298019033866864E-2</v>
      </c>
      <c r="H82" s="8">
        <f>Returns!H82/Returns!H81-1</f>
        <v>0.15097052480230055</v>
      </c>
      <c r="J82" s="6">
        <v>41487</v>
      </c>
      <c r="K82">
        <v>9.9565270490978949E-2</v>
      </c>
      <c r="L82">
        <v>-0.12236071538526061</v>
      </c>
      <c r="M82">
        <v>5.960793082610568E-2</v>
      </c>
    </row>
    <row r="83" spans="1:13" customFormat="1">
      <c r="A83" s="6">
        <v>41520</v>
      </c>
      <c r="B83" s="8">
        <f>Returns!B83/Returns!B82-1</f>
        <v>-2.1489377176464264E-2</v>
      </c>
      <c r="C83" s="8">
        <f>Returns!C83/Returns!C82-1</f>
        <v>3.4254351801209504E-2</v>
      </c>
      <c r="D83" s="8">
        <f>Returns!D83/Returns!D82-1</f>
        <v>-1.2849956817471475E-2</v>
      </c>
      <c r="E83" s="8">
        <f>Returns!E83/Returns!E82-1</f>
        <v>8.8848705860420374E-3</v>
      </c>
      <c r="F83" s="8">
        <f>Returns!F83/Returns!F82-1</f>
        <v>-3.8840417454465759E-2</v>
      </c>
      <c r="G83" s="8">
        <f>Returns!G83/Returns!G82-1</f>
        <v>2.9749523177239112E-2</v>
      </c>
      <c r="H83" s="8">
        <f>Returns!H83/Returns!H82-1</f>
        <v>-0.13304184884447223</v>
      </c>
      <c r="J83" s="6">
        <v>41520</v>
      </c>
      <c r="K83">
        <v>-0.11577963377515728</v>
      </c>
      <c r="L83">
        <v>6.2606997045333485E-2</v>
      </c>
      <c r="M83">
        <v>-5.6461236781953722E-2</v>
      </c>
    </row>
    <row r="84" spans="1:13" customFormat="1">
      <c r="A84" s="6">
        <v>41548</v>
      </c>
      <c r="B84" s="8">
        <f>Returns!B84/Returns!B83-1</f>
        <v>9.6381787900467364E-2</v>
      </c>
      <c r="C84" s="8">
        <f>Returns!C84/Returns!C83-1</f>
        <v>0.17658205800558013</v>
      </c>
      <c r="D84" s="8">
        <f>Returns!D84/Returns!D83-1</f>
        <v>4.1608621060876594E-2</v>
      </c>
      <c r="E84" s="8">
        <f>Returns!E84/Returns!E83-1</f>
        <v>-1.2674941114098504E-2</v>
      </c>
      <c r="F84" s="8">
        <f>Returns!F84/Returns!F83-1</f>
        <v>0.20556363304604819</v>
      </c>
      <c r="G84" s="8">
        <f>Returns!G84/Returns!G83-1</f>
        <v>4.4595752618006079E-2</v>
      </c>
      <c r="H84" s="8">
        <f>Returns!H84/Returns!H83-1</f>
        <v>-5.2593659942363091E-2</v>
      </c>
      <c r="J84" s="6">
        <v>41548</v>
      </c>
      <c r="K84">
        <v>8.9586713017510006E-2</v>
      </c>
      <c r="L84">
        <v>0.24499357416120132</v>
      </c>
      <c r="M84">
        <v>-2.7605382476320304E-2</v>
      </c>
    </row>
    <row r="85" spans="1:13" customFormat="1">
      <c r="A85" s="6">
        <v>41579</v>
      </c>
      <c r="B85" s="8">
        <f>Returns!B85/Returns!B84-1</f>
        <v>7.0052703808110461E-2</v>
      </c>
      <c r="C85" s="8">
        <f>Returns!C85/Returns!C84-1</f>
        <v>2.8149089191535914E-2</v>
      </c>
      <c r="D85" s="8">
        <f>Returns!D85/Returns!D84-1</f>
        <v>5.0167960963833025E-2</v>
      </c>
      <c r="E85" s="8">
        <f>Returns!E85/Returns!E84-1</f>
        <v>2.9244225901063015E-2</v>
      </c>
      <c r="F85" s="8">
        <f>Returns!F85/Returns!F84-1</f>
        <v>0.11621103798376287</v>
      </c>
      <c r="G85" s="8">
        <f>Returns!G85/Returns!G84-1</f>
        <v>2.8049471635186451E-2</v>
      </c>
      <c r="H85" s="8">
        <f>Returns!H85/Returns!H84-1</f>
        <v>3.9543726235741428E-2</v>
      </c>
      <c r="J85" s="6">
        <v>41579</v>
      </c>
      <c r="K85">
        <v>0.10106451495847968</v>
      </c>
      <c r="L85">
        <v>8.9639240982198998E-2</v>
      </c>
      <c r="M85">
        <v>2.9979493019946606E-2</v>
      </c>
    </row>
    <row r="86" spans="1:13" customFormat="1">
      <c r="A86" s="6">
        <v>41610</v>
      </c>
      <c r="B86" s="8">
        <f>Returns!B86/Returns!B85-1</f>
        <v>8.9017663500710054E-3</v>
      </c>
      <c r="C86" s="8">
        <f>Returns!C86/Returns!C85-1</f>
        <v>5.7682842417477787E-2</v>
      </c>
      <c r="D86" s="8">
        <f>Returns!D86/Returns!D85-1</f>
        <v>8.2584428018647849E-2</v>
      </c>
      <c r="E86" s="8">
        <f>Returns!E86/Returns!E85-1</f>
        <v>2.0173141451280463E-2</v>
      </c>
      <c r="F86" s="8">
        <f>Returns!F86/Returns!F85-1</f>
        <v>0.10236226834907147</v>
      </c>
      <c r="G86" s="8">
        <f>Returns!G86/Returns!G85-1</f>
        <v>2.356279155049279E-2</v>
      </c>
      <c r="H86" s="8">
        <f>Returns!H86/Returns!H85-1</f>
        <v>0.27871250914411116</v>
      </c>
      <c r="J86" s="6">
        <v>41610</v>
      </c>
      <c r="K86">
        <v>0.30740159088108826</v>
      </c>
      <c r="L86">
        <v>-3.2719455046783377E-2</v>
      </c>
      <c r="M86">
        <v>4.1101457441441169E-3</v>
      </c>
    </row>
    <row r="87" spans="1:13" customFormat="1">
      <c r="A87" s="6">
        <v>41641</v>
      </c>
      <c r="B87" s="8">
        <f>Returns!B87/Returns!B86-1</f>
        <v>-0.1076966720877508</v>
      </c>
      <c r="C87" s="8">
        <f>Returns!C87/Returns!C86-1</f>
        <v>5.3769414270626203E-2</v>
      </c>
      <c r="D87" s="8">
        <f>Returns!D87/Returns!D86-1</f>
        <v>-8.9327986856114316E-2</v>
      </c>
      <c r="E87" s="8">
        <f>Returns!E87/Returns!E86-1</f>
        <v>-0.10631660668868725</v>
      </c>
      <c r="F87" s="8">
        <f>Returns!F87/Returns!F86-1</f>
        <v>1.388883888960768E-2</v>
      </c>
      <c r="G87" s="8">
        <f>Returns!G87/Returns!G86-1</f>
        <v>-3.5582905675162646E-2</v>
      </c>
      <c r="H87" s="8">
        <f>Returns!H87/Returns!H86-1</f>
        <v>-0.1361556064073226</v>
      </c>
      <c r="J87" s="6">
        <v>41641</v>
      </c>
      <c r="K87">
        <v>-0.12888585346087397</v>
      </c>
      <c r="L87">
        <v>5.3089035068653929E-2</v>
      </c>
      <c r="M87">
        <v>1.3925902956429684E-3</v>
      </c>
    </row>
    <row r="88" spans="1:13" customFormat="1">
      <c r="A88" s="6">
        <v>41673</v>
      </c>
      <c r="B88" s="8">
        <f>Returns!B88/Returns!B87-1</f>
        <v>5.7510778477334767E-2</v>
      </c>
      <c r="C88" s="8">
        <f>Returns!C88/Returns!C87-1</f>
        <v>2.9365667058008915E-2</v>
      </c>
      <c r="D88" s="8">
        <f>Returns!D88/Returns!D87-1</f>
        <v>5.1994774941360289E-2</v>
      </c>
      <c r="E88" s="8">
        <f>Returns!E88/Returns!E87-1</f>
        <v>4.2322245779598422E-2</v>
      </c>
      <c r="F88" s="8">
        <f>Returns!F88/Returns!F87-1</f>
        <v>-5.6223862600899732E-2</v>
      </c>
      <c r="G88" s="8">
        <f>Returns!G88/Returns!G87-1</f>
        <v>4.3117029976595278E-2</v>
      </c>
      <c r="H88" s="8">
        <f>Returns!H88/Returns!H87-1</f>
        <v>6.6225165562916466E-4</v>
      </c>
      <c r="J88" s="6">
        <v>41673</v>
      </c>
      <c r="K88">
        <v>4.0231033660646119E-3</v>
      </c>
      <c r="L88">
        <v>1.5967245823804926E-4</v>
      </c>
      <c r="M88">
        <v>-7.6487076783620545E-2</v>
      </c>
    </row>
    <row r="89" spans="1:13" customFormat="1">
      <c r="A89" s="6">
        <v>41701</v>
      </c>
      <c r="B89" s="8">
        <f>Returns!B89/Returns!B88-1</f>
        <v>1.9952910371302535E-2</v>
      </c>
      <c r="C89" s="8">
        <f>Returns!C89/Returns!C88-1</f>
        <v>-8.2748322498856108E-2</v>
      </c>
      <c r="D89" s="8">
        <f>Returns!D89/Returns!D88-1</f>
        <v>1.4646382184687612E-2</v>
      </c>
      <c r="E89" s="8">
        <f>Returns!E89/Returns!E88-1</f>
        <v>3.1041407705936663E-2</v>
      </c>
      <c r="F89" s="8">
        <f>Returns!F89/Returns!F88-1</f>
        <v>0.10671111481484652</v>
      </c>
      <c r="G89" s="8">
        <f>Returns!G89/Returns!G88-1</f>
        <v>6.9321656079357474E-3</v>
      </c>
      <c r="H89" s="8">
        <f>Returns!H89/Returns!H88-1</f>
        <v>0.14626075446724029</v>
      </c>
      <c r="J89" s="6">
        <v>41701</v>
      </c>
      <c r="K89">
        <v>0.15410798574268861</v>
      </c>
      <c r="L89">
        <v>-2.3253321697266072E-2</v>
      </c>
      <c r="M89">
        <v>0.12015768121913481</v>
      </c>
    </row>
    <row r="90" spans="1:13" customFormat="1">
      <c r="A90" s="6">
        <v>41730</v>
      </c>
      <c r="B90" s="8">
        <f>Returns!B90/Returns!B89-1</f>
        <v>9.939640894472368E-2</v>
      </c>
      <c r="C90" s="8">
        <f>Returns!C90/Returns!C89-1</f>
        <v>-5.4419310593110781E-2</v>
      </c>
      <c r="D90" s="8">
        <f>Returns!D90/Returns!D89-1</f>
        <v>4.8423416363981175E-2</v>
      </c>
      <c r="E90" s="8">
        <f>Returns!E90/Returns!E89-1</f>
        <v>5.558817350231493E-2</v>
      </c>
      <c r="F90" s="8">
        <f>Returns!F90/Returns!F89-1</f>
        <v>7.6647813495809958E-2</v>
      </c>
      <c r="G90" s="8">
        <f>Returns!G90/Returns!G89-1</f>
        <v>6.2007889650528281E-3</v>
      </c>
      <c r="H90" s="8">
        <f>Returns!H90/Returns!H89-1</f>
        <v>-2.9445727482678929E-2</v>
      </c>
      <c r="J90" s="6">
        <v>41730</v>
      </c>
      <c r="K90">
        <v>7.2867611475780671E-3</v>
      </c>
      <c r="L90">
        <v>7.0205439818836382E-2</v>
      </c>
      <c r="M90">
        <v>6.6347321751947103E-2</v>
      </c>
    </row>
    <row r="91" spans="1:13" customFormat="1">
      <c r="A91" s="6">
        <v>41760</v>
      </c>
      <c r="B91" s="8">
        <f>Returns!B91/Returns!B90-1</f>
        <v>7.8709251217731424E-2</v>
      </c>
      <c r="C91" s="8">
        <f>Returns!C91/Returns!C90-1</f>
        <v>6.3095755560988565E-2</v>
      </c>
      <c r="D91" s="8">
        <f>Returns!D91/Returns!D90-1</f>
        <v>-1.1692880280948503E-2</v>
      </c>
      <c r="E91" s="8">
        <f>Returns!E91/Returns!E90-1</f>
        <v>-1.3398998926301586E-2</v>
      </c>
      <c r="F91" s="8">
        <f>Returns!F91/Returns!F90-1</f>
        <v>-1.5122022495187681E-2</v>
      </c>
      <c r="G91" s="8">
        <f>Returns!G91/Returns!G90-1</f>
        <v>2.1030280012996005E-2</v>
      </c>
      <c r="H91" s="8">
        <f>Returns!H91/Returns!H90-1</f>
        <v>-9.1017251635930996E-2</v>
      </c>
      <c r="J91" s="6">
        <v>41760</v>
      </c>
      <c r="K91">
        <v>-6.8255652491397756E-2</v>
      </c>
      <c r="L91">
        <v>6.0086066111160491E-2</v>
      </c>
      <c r="M91">
        <v>-5.8233985465885908E-2</v>
      </c>
    </row>
    <row r="92" spans="1:13" customFormat="1">
      <c r="A92" s="6">
        <v>41792</v>
      </c>
      <c r="B92" s="8">
        <f>Returns!B92/Returns!B91-1</f>
        <v>2.7661887618405157E-2</v>
      </c>
      <c r="C92" s="8">
        <f>Returns!C92/Returns!C91-1</f>
        <v>2.7487442421499697E-2</v>
      </c>
      <c r="D92" s="8">
        <f>Returns!D92/Returns!D91-1</f>
        <v>1.4920465418004625E-3</v>
      </c>
      <c r="E92" s="8">
        <f>Returns!E92/Returns!E91-1</f>
        <v>6.3197333827886837E-2</v>
      </c>
      <c r="F92" s="8">
        <f>Returns!F92/Returns!F91-1</f>
        <v>-0.1061552449135803</v>
      </c>
      <c r="G92" s="8">
        <f>Returns!G92/Returns!G91-1</f>
        <v>1.9058331658920569E-2</v>
      </c>
      <c r="H92" s="8">
        <f>Returns!H92/Returns!H91-1</f>
        <v>6.3481675392670134E-2</v>
      </c>
      <c r="J92" s="6">
        <v>41792</v>
      </c>
      <c r="K92">
        <v>3.1454637778952008E-2</v>
      </c>
      <c r="L92">
        <v>-7.6391707851911544E-2</v>
      </c>
      <c r="M92">
        <v>-9.5853285118471673E-2</v>
      </c>
    </row>
    <row r="93" spans="1:13" customFormat="1">
      <c r="A93" s="6">
        <v>41821</v>
      </c>
      <c r="B93" s="8">
        <f>Returns!B93/Returns!B92-1</f>
        <v>2.873131278666663E-2</v>
      </c>
      <c r="C93" s="8">
        <f>Returns!C93/Returns!C92-1</f>
        <v>-6.396843994200152E-3</v>
      </c>
      <c r="D93" s="8">
        <f>Returns!D93/Returns!D92-1</f>
        <v>-1.7282383745464758E-2</v>
      </c>
      <c r="E93" s="8">
        <f>Returns!E93/Returns!E92-1</f>
        <v>-1.0034448168347754E-2</v>
      </c>
      <c r="F93" s="8">
        <f>Returns!F93/Returns!F92-1</f>
        <v>1.3972038163458933E-2</v>
      </c>
      <c r="G93" s="8">
        <f>Returns!G93/Returns!G92-1</f>
        <v>-1.5079830581919862E-2</v>
      </c>
      <c r="H93" s="8">
        <f>Returns!H93/Returns!H92-1</f>
        <v>8.4923076923076879E-2</v>
      </c>
      <c r="J93" s="6">
        <v>41821</v>
      </c>
      <c r="K93">
        <v>7.0494246080357578E-2</v>
      </c>
      <c r="L93">
        <v>-4.609008819035721E-2</v>
      </c>
      <c r="M93">
        <v>2.1899326085221087E-2</v>
      </c>
    </row>
    <row r="94" spans="1:13" customFormat="1">
      <c r="A94" s="6">
        <v>41852</v>
      </c>
      <c r="B94" s="8">
        <f>Returns!B94/Returns!B93-1</f>
        <v>7.7508834509105506E-2</v>
      </c>
      <c r="C94" s="8">
        <f>Returns!C94/Returns!C93-1</f>
        <v>0</v>
      </c>
      <c r="D94" s="8">
        <f>Returns!D94/Returns!D93-1</f>
        <v>1.2258371607801744E-2</v>
      </c>
      <c r="E94" s="8">
        <f>Returns!E94/Returns!E93-1</f>
        <v>1.0138059399358079E-2</v>
      </c>
      <c r="F94" s="8">
        <f>Returns!F94/Returns!F93-1</f>
        <v>7.1361013215093916E-2</v>
      </c>
      <c r="G94" s="8">
        <f>Returns!G94/Returns!G93-1</f>
        <v>3.7655295489735119E-2</v>
      </c>
      <c r="H94" s="8">
        <f>Returns!H94/Returns!H93-1</f>
        <v>-7.6574021554169036E-2</v>
      </c>
      <c r="J94" s="6">
        <v>41852</v>
      </c>
      <c r="K94">
        <v>-2.8196262395357663E-2</v>
      </c>
      <c r="L94">
        <v>0.10155293019751903</v>
      </c>
      <c r="M94">
        <v>3.0219598274769846E-2</v>
      </c>
    </row>
    <row r="95" spans="1:13" customFormat="1">
      <c r="A95" s="6">
        <v>41884</v>
      </c>
      <c r="B95" s="8">
        <f>Returns!B95/Returns!B94-1</f>
        <v>-1.707316424676697E-2</v>
      </c>
      <c r="C95" s="8">
        <f>Returns!C95/Returns!C94-1</f>
        <v>1.007694856531427E-2</v>
      </c>
      <c r="D95" s="8">
        <f>Returns!D95/Returns!D94-1</f>
        <v>-5.4393702048065595E-2</v>
      </c>
      <c r="E95" s="8">
        <f>Returns!E95/Returns!E94-1</f>
        <v>-7.8254082993038376E-2</v>
      </c>
      <c r="F95" s="8">
        <f>Returns!F95/Returns!F94-1</f>
        <v>-0.14536381113796881</v>
      </c>
      <c r="G95" s="8">
        <f>Returns!G95/Returns!G94-1</f>
        <v>-1.5513837223063764E-2</v>
      </c>
      <c r="H95" s="8">
        <f>Returns!H95/Returns!H94-1</f>
        <v>9.3366093366093361E-2</v>
      </c>
      <c r="J95" s="6">
        <v>41884</v>
      </c>
      <c r="K95">
        <v>3.0719830816759996E-3</v>
      </c>
      <c r="L95">
        <v>-0.17486993880832458</v>
      </c>
      <c r="M95">
        <v>-6.3530748409363583E-2</v>
      </c>
    </row>
    <row r="96" spans="1:13" customFormat="1">
      <c r="A96" s="6">
        <v>41913</v>
      </c>
      <c r="B96" s="8">
        <f>Returns!B96/Returns!B95-1</f>
        <v>7.1960224061353939E-2</v>
      </c>
      <c r="C96" s="8">
        <f>Returns!C96/Returns!C95-1</f>
        <v>-3.1661367888024428E-2</v>
      </c>
      <c r="D96" s="8">
        <f>Returns!D96/Returns!D95-1</f>
        <v>2.8282826174564901E-2</v>
      </c>
      <c r="E96" s="8">
        <f>Returns!E96/Returns!E95-1</f>
        <v>5.2798562562434981E-3</v>
      </c>
      <c r="F96" s="8">
        <f>Returns!F96/Returns!F95-1</f>
        <v>8.255885163032417E-2</v>
      </c>
      <c r="G96" s="8">
        <f>Returns!G96/Returns!G95-1</f>
        <v>2.3201460786772321E-2</v>
      </c>
      <c r="H96" s="8">
        <f>Returns!H96/Returns!H95-1</f>
        <v>-9.382022471910112E-2</v>
      </c>
      <c r="J96" s="6">
        <v>41913</v>
      </c>
      <c r="K96">
        <v>-4.7300358564863344E-2</v>
      </c>
      <c r="L96">
        <v>0.10509941332187522</v>
      </c>
      <c r="M96">
        <v>6.1073553742688316E-2</v>
      </c>
    </row>
    <row r="97" spans="1:13" customFormat="1">
      <c r="A97" s="6">
        <v>41946</v>
      </c>
      <c r="B97" s="8">
        <f>Returns!B97/Returns!B96-1</f>
        <v>0.10597878658259319</v>
      </c>
      <c r="C97" s="8">
        <f>Returns!C97/Returns!C96-1</f>
        <v>-3.0854232394888825E-2</v>
      </c>
      <c r="D97" s="8">
        <f>Returns!D97/Returns!D96-1</f>
        <v>-5.7039737337538976E-2</v>
      </c>
      <c r="E97" s="8">
        <f>Returns!E97/Returns!E96-1</f>
        <v>-8.3954670737686476E-2</v>
      </c>
      <c r="F97" s="8">
        <f>Returns!F97/Returns!F96-1</f>
        <v>-2.412636480307484E-2</v>
      </c>
      <c r="G97" s="8">
        <f>Returns!G97/Returns!G96-1</f>
        <v>2.4533588760364822E-2</v>
      </c>
      <c r="H97" s="8">
        <f>Returns!H97/Returns!H96-1</f>
        <v>-6.3236205827650438E-2</v>
      </c>
      <c r="J97" s="6">
        <v>41946</v>
      </c>
      <c r="K97">
        <v>-8.7101129047441772E-2</v>
      </c>
      <c r="L97">
        <v>-1.7731901412737693E-2</v>
      </c>
      <c r="M97">
        <v>2.9504503624722889E-2</v>
      </c>
    </row>
    <row r="98" spans="1:13" customFormat="1">
      <c r="A98" s="6">
        <v>41974</v>
      </c>
      <c r="B98" s="8">
        <f>Returns!B98/Returns!B97-1</f>
        <v>-7.189105266142537E-2</v>
      </c>
      <c r="C98" s="8">
        <f>Returns!C98/Returns!C97-1</f>
        <v>-2.8477535393422126E-2</v>
      </c>
      <c r="D98" s="8">
        <f>Returns!D98/Returns!D97-1</f>
        <v>2.1095658885809776E-2</v>
      </c>
      <c r="E98" s="8">
        <f>Returns!E98/Returns!E97-1</f>
        <v>3.0403149648911887E-2</v>
      </c>
      <c r="F98" s="8">
        <f>Returns!F98/Returns!F97-1</f>
        <v>1.8308970841250716E-2</v>
      </c>
      <c r="G98" s="8">
        <f>Returns!G98/Returns!G97-1</f>
        <v>-4.1885878779204244E-3</v>
      </c>
      <c r="H98" s="8">
        <f>Returns!H98/Returns!H97-1</f>
        <v>9.3977498345466648E-2</v>
      </c>
      <c r="J98" s="6">
        <v>41974</v>
      </c>
      <c r="K98">
        <v>8.673867736636548E-2</v>
      </c>
      <c r="L98">
        <v>-3.7703902948780441E-2</v>
      </c>
      <c r="M98">
        <v>2.6649824663314566E-2</v>
      </c>
    </row>
    <row r="99" spans="1:13" customFormat="1">
      <c r="A99" s="6">
        <v>42006</v>
      </c>
      <c r="B99" s="8">
        <f>Returns!B99/Returns!B98-1</f>
        <v>6.1424272822990122E-2</v>
      </c>
      <c r="C99" s="8">
        <f>Returns!C99/Returns!C98-1</f>
        <v>1.5425567822016317E-2</v>
      </c>
      <c r="D99" s="8">
        <f>Returns!D99/Returns!D98-1</f>
        <v>-5.4407835693146778E-2</v>
      </c>
      <c r="E99" s="8">
        <f>Returns!E99/Returns!E98-1</f>
        <v>-8.6022479241894767E-2</v>
      </c>
      <c r="F99" s="8">
        <f>Returns!F99/Returns!F98-1</f>
        <v>6.8282808966450892E-2</v>
      </c>
      <c r="G99" s="8">
        <f>Returns!G99/Returns!G98-1</f>
        <v>-3.1040805790470194E-2</v>
      </c>
      <c r="H99" s="8">
        <f>Returns!H99/Returns!H98-1</f>
        <v>-0.28191167574107678</v>
      </c>
      <c r="J99" s="6">
        <v>42006</v>
      </c>
      <c r="K99">
        <v>-0.23274687466233268</v>
      </c>
      <c r="L99">
        <v>0.16441357245571148</v>
      </c>
      <c r="M99">
        <v>4.8346091913370137E-2</v>
      </c>
    </row>
    <row r="100" spans="1:13" customFormat="1">
      <c r="A100" s="6">
        <v>42037</v>
      </c>
      <c r="B100" s="8">
        <f>Returns!B100/Returns!B99-1</f>
        <v>0.10077646655008721</v>
      </c>
      <c r="C100" s="8">
        <f>Returns!C100/Returns!C99-1</f>
        <v>4.4675514580480691E-2</v>
      </c>
      <c r="D100" s="8">
        <f>Returns!D100/Returns!D99-1</f>
        <v>2.0435157544792748E-2</v>
      </c>
      <c r="E100" s="8">
        <f>Returns!E100/Returns!E99-1</f>
        <v>5.0698235821707405E-2</v>
      </c>
      <c r="F100" s="8">
        <f>Returns!F100/Returns!F99-1</f>
        <v>0.17517212091006673</v>
      </c>
      <c r="G100" s="8">
        <f>Returns!G100/Returns!G99-1</f>
        <v>5.4892511014553946E-2</v>
      </c>
      <c r="H100" s="8">
        <f>Returns!H100/Returns!H99-1</f>
        <v>0.26790227464195437</v>
      </c>
      <c r="J100" s="6">
        <v>42037</v>
      </c>
      <c r="K100">
        <v>0.32680038858006943</v>
      </c>
      <c r="L100">
        <v>2.1474458107091615E-2</v>
      </c>
      <c r="M100">
        <v>5.439377521119354E-2</v>
      </c>
    </row>
    <row r="101" spans="1:13" customFormat="1">
      <c r="A101" s="6">
        <v>42065</v>
      </c>
      <c r="B101" s="8">
        <f>Returns!B101/Returns!B100-1</f>
        <v>-3.1371628302094945E-2</v>
      </c>
      <c r="C101" s="8">
        <f>Returns!C101/Returns!C100-1</f>
        <v>-1.8624711560447538E-2</v>
      </c>
      <c r="D101" s="8">
        <f>Returns!D101/Returns!D100-1</f>
        <v>-3.9981961786447751E-2</v>
      </c>
      <c r="E101" s="8">
        <f>Returns!E101/Returns!E100-1</f>
        <v>-1.5935478087756083E-2</v>
      </c>
      <c r="F101" s="8">
        <f>Returns!F101/Returns!F100-1</f>
        <v>3.1285456863173522E-2</v>
      </c>
      <c r="G101" s="8">
        <f>Returns!G101/Returns!G100-1</f>
        <v>-1.739610691375626E-2</v>
      </c>
      <c r="H101" s="8">
        <f>Returns!H101/Returns!H100-1</f>
        <v>-8.6378737541528139E-2</v>
      </c>
      <c r="J101" s="6">
        <v>42065</v>
      </c>
      <c r="K101">
        <v>-7.4893075825083116E-2</v>
      </c>
      <c r="L101">
        <v>4.5768008075360453E-2</v>
      </c>
      <c r="M101">
        <v>4.0980558827820764E-2</v>
      </c>
    </row>
    <row r="102" spans="1:13" customFormat="1">
      <c r="A102" s="6">
        <v>42095</v>
      </c>
      <c r="B102" s="8">
        <f>Returns!B102/Returns!B101-1</f>
        <v>5.7863539490985438E-3</v>
      </c>
      <c r="C102" s="8">
        <f>Returns!C102/Returns!C101-1</f>
        <v>-1.9456873185716317E-2</v>
      </c>
      <c r="D102" s="8">
        <f>Returns!D102/Returns!D101-1</f>
        <v>2.7882446007425621E-2</v>
      </c>
      <c r="E102" s="8">
        <f>Returns!E102/Returns!E101-1</f>
        <v>5.7915744461855656E-2</v>
      </c>
      <c r="F102" s="8">
        <f>Returns!F102/Returns!F101-1</f>
        <v>-0.10562712734843749</v>
      </c>
      <c r="G102" s="8">
        <f>Returns!G102/Returns!G101-1</f>
        <v>8.5208197301247512E-3</v>
      </c>
      <c r="H102" s="8">
        <f>Returns!H102/Returns!H101-1</f>
        <v>4.872727272727273E-2</v>
      </c>
      <c r="J102" s="6">
        <v>42095</v>
      </c>
      <c r="K102">
        <v>8.0746364932884271E-3</v>
      </c>
      <c r="L102">
        <v>-8.4429819462450845E-2</v>
      </c>
      <c r="M102">
        <v>-6.1266136344054957E-2</v>
      </c>
    </row>
    <row r="103" spans="1:13" customFormat="1">
      <c r="A103" s="6">
        <v>42125</v>
      </c>
      <c r="B103" s="8">
        <f>Returns!B103/Returns!B102-1</f>
        <v>4.5339106894463743E-2</v>
      </c>
      <c r="C103" s="8">
        <f>Returns!C103/Returns!C102-1</f>
        <v>-9.7332075356446612E-3</v>
      </c>
      <c r="D103" s="8">
        <f>Returns!D103/Returns!D102-1</f>
        <v>-1.6771396481440326E-2</v>
      </c>
      <c r="E103" s="8">
        <f>Returns!E103/Returns!E102-1</f>
        <v>-6.3331897413605565E-2</v>
      </c>
      <c r="F103" s="8">
        <f>Returns!F103/Returns!F102-1</f>
        <v>4.8220559997450119E-2</v>
      </c>
      <c r="G103" s="8">
        <f>Returns!G103/Returns!G102-1</f>
        <v>1.0491382393316817E-2</v>
      </c>
      <c r="H103" s="8">
        <f>Returns!H103/Returns!H102-1</f>
        <v>1.7337031900138689E-2</v>
      </c>
      <c r="J103" s="6">
        <v>42125</v>
      </c>
      <c r="K103">
        <v>2.1059906751041593E-2</v>
      </c>
      <c r="L103">
        <v>4.9504092494639784E-3</v>
      </c>
      <c r="M103">
        <v>4.9439992074374307E-2</v>
      </c>
    </row>
    <row r="104" spans="1:13" customFormat="1">
      <c r="A104" s="6">
        <v>42156</v>
      </c>
      <c r="B104" s="8">
        <f>Returns!B104/Returns!B103-1</f>
        <v>-3.7227475334984717E-2</v>
      </c>
      <c r="C104" s="8">
        <f>Returns!C104/Returns!C103-1</f>
        <v>-2.1799957390388203E-2</v>
      </c>
      <c r="D104" s="8">
        <f>Returns!D104/Returns!D103-1</f>
        <v>-2.3474121073058907E-2</v>
      </c>
      <c r="E104" s="8">
        <f>Returns!E104/Returns!E103-1</f>
        <v>-6.3398034788749724E-2</v>
      </c>
      <c r="F104" s="8">
        <f>Returns!F104/Returns!F103-1</f>
        <v>5.6718382225378727E-2</v>
      </c>
      <c r="G104" s="8">
        <f>Returns!G104/Returns!G103-1</f>
        <v>-2.1011672375900514E-2</v>
      </c>
      <c r="H104" s="8">
        <f>Returns!H104/Returns!H103-1</f>
        <v>0.10974778459441015</v>
      </c>
      <c r="J104" s="6">
        <v>42156</v>
      </c>
      <c r="K104">
        <v>9.4719306929292688E-2</v>
      </c>
      <c r="L104">
        <v>-5.0440759253202232E-2</v>
      </c>
      <c r="M104">
        <v>7.1426728068275491E-2</v>
      </c>
    </row>
    <row r="105" spans="1:13" customFormat="1">
      <c r="A105" s="6">
        <v>42186</v>
      </c>
      <c r="B105" s="8">
        <f>Returns!B105/Returns!B104-1</f>
        <v>-3.2926711183879909E-2</v>
      </c>
      <c r="C105" s="8">
        <f>Returns!C105/Returns!C104-1</f>
        <v>0.20191729838202366</v>
      </c>
      <c r="D105" s="8">
        <f>Returns!D105/Returns!D104-1</f>
        <v>-4.7956744874918078E-2</v>
      </c>
      <c r="E105" s="8">
        <f>Returns!E105/Returns!E104-1</f>
        <v>-8.2823636686945257E-2</v>
      </c>
      <c r="F105" s="8">
        <f>Returns!F105/Returns!F104-1</f>
        <v>5.4490270609504288E-2</v>
      </c>
      <c r="G105" s="8">
        <f>Returns!G105/Returns!G104-1</f>
        <v>1.9742029696721453E-2</v>
      </c>
      <c r="H105" s="8">
        <f>Returns!H105/Returns!H104-1</f>
        <v>-4.9140049140049102E-2</v>
      </c>
      <c r="J105" s="6">
        <v>42186</v>
      </c>
      <c r="K105">
        <v>1.3891091987679696E-2</v>
      </c>
      <c r="L105">
        <v>0.11305418276236787</v>
      </c>
      <c r="M105">
        <v>-0.10415166756668512</v>
      </c>
    </row>
    <row r="106" spans="1:13" customFormat="1">
      <c r="A106" s="6">
        <v>42219</v>
      </c>
      <c r="B106" s="8">
        <f>Returns!B106/Returns!B105-1</f>
        <v>-6.6196243466875804E-2</v>
      </c>
      <c r="C106" s="8">
        <f>Returns!C106/Returns!C105-1</f>
        <v>-1.1764494136071169E-2</v>
      </c>
      <c r="D106" s="8">
        <f>Returns!D106/Returns!D105-1</f>
        <v>-4.1232304314417045E-2</v>
      </c>
      <c r="E106" s="8">
        <f>Returns!E106/Returns!E105-1</f>
        <v>-7.311845458988564E-2</v>
      </c>
      <c r="F106" s="8">
        <f>Returns!F106/Returns!F105-1</f>
        <v>-9.5426741966967654E-2</v>
      </c>
      <c r="G106" s="8">
        <f>Returns!G106/Returns!G105-1</f>
        <v>-6.2580818167202845E-2</v>
      </c>
      <c r="H106" s="8">
        <f>Returns!H106/Returns!H105-1</f>
        <v>-4.5219638242894877E-3</v>
      </c>
      <c r="J106" s="6">
        <v>42219</v>
      </c>
      <c r="K106">
        <v>-7.0092372465016206E-2</v>
      </c>
      <c r="L106">
        <v>-0.10444860439349017</v>
      </c>
      <c r="M106">
        <v>-1.7479295495883371E-2</v>
      </c>
    </row>
    <row r="107" spans="1:13" customFormat="1">
      <c r="A107" s="6">
        <v>42248</v>
      </c>
      <c r="B107" s="8">
        <f>Returns!B107/Returns!B106-1</f>
        <v>-2.1816253581533607E-2</v>
      </c>
      <c r="C107" s="8">
        <f>Returns!C107/Returns!C106-1</f>
        <v>-1.5899744439951458E-2</v>
      </c>
      <c r="D107" s="8">
        <f>Returns!D107/Returns!D106-1</f>
        <v>-1.182886230687985E-2</v>
      </c>
      <c r="E107" s="8">
        <f>Returns!E107/Returns!E106-1</f>
        <v>-2.605267852697335E-2</v>
      </c>
      <c r="F107" s="8">
        <f>Returns!F107/Returns!F106-1</f>
        <v>1.2807506763621079E-2</v>
      </c>
      <c r="G107" s="8">
        <f>Returns!G107/Returns!G106-1</f>
        <v>-2.6442831573227132E-2</v>
      </c>
      <c r="H107" s="8">
        <f>Returns!H107/Returns!H106-1</f>
        <v>-0.10772225827384807</v>
      </c>
      <c r="J107" s="6">
        <v>42248</v>
      </c>
      <c r="K107">
        <v>-9.9626502559565733E-2</v>
      </c>
      <c r="L107">
        <v>4.5745301590326568E-2</v>
      </c>
      <c r="M107">
        <v>2.6818727311714061E-2</v>
      </c>
    </row>
    <row r="108" spans="1:13" customFormat="1">
      <c r="A108" s="6">
        <v>42278</v>
      </c>
      <c r="B108" s="8">
        <f>Returns!B108/Returns!B107-1</f>
        <v>8.3408884429115204E-2</v>
      </c>
      <c r="C108" s="8">
        <f>Returns!C108/Returns!C107-1</f>
        <v>0.16828838279626313</v>
      </c>
      <c r="D108" s="8">
        <f>Returns!D108/Returns!D107-1</f>
        <v>0.11284473111559068</v>
      </c>
      <c r="E108" s="8">
        <f>Returns!E108/Returns!E107-1</f>
        <v>0.15212990439141683</v>
      </c>
      <c r="F108" s="8">
        <f>Returns!F108/Returns!F107-1</f>
        <v>9.6838557803907044E-2</v>
      </c>
      <c r="G108" s="8">
        <f>Returns!G108/Returns!G107-1</f>
        <v>8.2983117760394132E-2</v>
      </c>
      <c r="H108" s="8">
        <f>Returns!H108/Returns!H107-1</f>
        <v>0.11127272727272719</v>
      </c>
      <c r="J108" s="6">
        <v>42278</v>
      </c>
      <c r="K108">
        <v>0.22324412202869243</v>
      </c>
      <c r="L108">
        <v>0.14056089373270292</v>
      </c>
      <c r="M108">
        <v>-0.12729323448665164</v>
      </c>
    </row>
    <row r="109" spans="1:13" customFormat="1">
      <c r="A109" s="6">
        <v>42310</v>
      </c>
      <c r="B109" s="8">
        <f>Returns!B109/Returns!B108-1</f>
        <v>-5.8042625863339303E-3</v>
      </c>
      <c r="C109" s="8">
        <f>Returns!C109/Returns!C108-1</f>
        <v>4.4723594335261518E-2</v>
      </c>
      <c r="D109" s="8">
        <f>Returns!D109/Returns!D108-1</f>
        <v>-4.4492771100123063E-3</v>
      </c>
      <c r="E109" s="8">
        <f>Returns!E109/Returns!E108-1</f>
        <v>1.7113894630893522E-2</v>
      </c>
      <c r="F109" s="8">
        <f>Returns!F109/Returns!F108-1</f>
        <v>9.7877963929241973E-2</v>
      </c>
      <c r="G109" s="8">
        <f>Returns!G109/Returns!G108-1</f>
        <v>5.0486926072412786E-4</v>
      </c>
      <c r="H109" s="8">
        <f>Returns!H109/Returns!H108-1</f>
        <v>8.2460732984293017E-2</v>
      </c>
      <c r="J109" s="6">
        <v>42310</v>
      </c>
      <c r="K109">
        <v>0.1224500262871136</v>
      </c>
      <c r="L109">
        <v>4.2565023934293997E-2</v>
      </c>
      <c r="M109">
        <v>2.1747668689740773E-2</v>
      </c>
    </row>
    <row r="110" spans="1:13" customFormat="1">
      <c r="A110" s="6">
        <v>42339</v>
      </c>
      <c r="B110" s="8">
        <f>Returns!B110/Returns!B109-1</f>
        <v>-0.11022824481842386</v>
      </c>
      <c r="C110" s="8">
        <f>Returns!C110/Returns!C109-1</f>
        <v>2.1923013097431054E-2</v>
      </c>
      <c r="D110" s="8">
        <f>Returns!D110/Returns!D109-1</f>
        <v>-4.5432354156106247E-2</v>
      </c>
      <c r="E110" s="8">
        <f>Returns!E110/Returns!E109-1</f>
        <v>-1.4892742178745921E-2</v>
      </c>
      <c r="F110" s="8">
        <f>Returns!F110/Returns!F109-1</f>
        <v>-1.6003386332907432E-2</v>
      </c>
      <c r="G110" s="8">
        <f>Returns!G110/Returns!G109-1</f>
        <v>-1.7530185176314439E-2</v>
      </c>
      <c r="H110" s="8">
        <f>Returns!H110/Returns!H109-1</f>
        <v>6.2877871825876674E-2</v>
      </c>
      <c r="J110" s="6">
        <v>42339</v>
      </c>
      <c r="K110">
        <v>4.2582228042446754E-2</v>
      </c>
      <c r="L110">
        <v>-5.0950404260978771E-2</v>
      </c>
      <c r="M110">
        <v>-1.248343092631536E-2</v>
      </c>
    </row>
    <row r="111" spans="1:13" customFormat="1">
      <c r="A111" s="6">
        <v>42373</v>
      </c>
      <c r="B111" s="8">
        <f>Returns!B111/Returns!B110-1</f>
        <v>-7.5242316803524223E-2</v>
      </c>
      <c r="C111" s="8">
        <f>Returns!C111/Returns!C110-1</f>
        <v>-2.0991451738143985E-2</v>
      </c>
      <c r="D111" s="8">
        <f>Returns!D111/Returns!D110-1</f>
        <v>-1.2828685934170858E-3</v>
      </c>
      <c r="E111" s="8">
        <f>Returns!E111/Returns!E110-1</f>
        <v>-3.8794951798805877E-2</v>
      </c>
      <c r="F111" s="8">
        <f>Returns!F111/Returns!F110-1</f>
        <v>-4.0164006379162065E-2</v>
      </c>
      <c r="G111" s="8">
        <f>Returns!G111/Returns!G110-1</f>
        <v>-5.073532197294639E-2</v>
      </c>
      <c r="H111" s="8">
        <f>Returns!H111/Returns!H110-1</f>
        <v>-0.24061433447098979</v>
      </c>
      <c r="J111" s="6">
        <v>42373</v>
      </c>
      <c r="K111">
        <v>-0.23934829289965259</v>
      </c>
      <c r="L111">
        <v>7.1263617157917986E-2</v>
      </c>
      <c r="M111">
        <v>5.2422786349435192E-4</v>
      </c>
    </row>
    <row r="112" spans="1:13" customFormat="1">
      <c r="A112" s="6">
        <v>42401</v>
      </c>
      <c r="B112" s="8">
        <f>Returns!B112/Returns!B111-1</f>
        <v>-1.2874837364547087E-3</v>
      </c>
      <c r="C112" s="8">
        <f>Returns!C112/Returns!C111-1</f>
        <v>-6.0811617565462717E-2</v>
      </c>
      <c r="D112" s="8">
        <f>Returns!D112/Returns!D111-1</f>
        <v>3.8888433917926735E-2</v>
      </c>
      <c r="E112" s="8">
        <f>Returns!E112/Returns!E111-1</f>
        <v>-2.2801729613854183E-2</v>
      </c>
      <c r="F112" s="8">
        <f>Returns!F112/Returns!F111-1</f>
        <v>-0.10609817911606434</v>
      </c>
      <c r="G112" s="8">
        <f>Returns!G112/Returns!G111-1</f>
        <v>-4.1283604302990717E-3</v>
      </c>
      <c r="H112" s="8">
        <f>Returns!H112/Returns!H111-1</f>
        <v>-8.6142322097378266E-2</v>
      </c>
      <c r="J112" s="6">
        <v>42401</v>
      </c>
      <c r="K112">
        <v>-0.13052877715289357</v>
      </c>
      <c r="L112">
        <v>-4.8437436996224527E-2</v>
      </c>
      <c r="M112">
        <v>-1.7533451844379839E-2</v>
      </c>
    </row>
    <row r="113" spans="1:17">
      <c r="A113" s="6">
        <v>42430</v>
      </c>
      <c r="B113" s="8">
        <f>Returns!B113/Returns!B112-1</f>
        <v>0.12721064695652684</v>
      </c>
      <c r="C113" s="8">
        <f>Returns!C113/Returns!C112-1</f>
        <v>6.7615389953268545E-2</v>
      </c>
      <c r="D113" s="8">
        <f>Returns!D113/Returns!D112-1</f>
        <v>4.2919442379092176E-2</v>
      </c>
      <c r="E113" s="8">
        <f>Returns!E113/Returns!E112-1</f>
        <v>0.14333647545883643</v>
      </c>
      <c r="F113" s="8">
        <f>Returns!F113/Returns!F112-1</f>
        <v>6.7576574515626708E-2</v>
      </c>
      <c r="G113" s="8">
        <f>Returns!G113/Returns!G112-1</f>
        <v>6.5991114577365062E-2</v>
      </c>
      <c r="H113" s="8">
        <f>Returns!H113/Returns!H112-1</f>
        <v>3.2786885245901232E-3</v>
      </c>
      <c r="J113" s="6">
        <v>42430</v>
      </c>
      <c r="K113">
        <v>8.3650871366657345E-2</v>
      </c>
      <c r="L113">
        <v>0.12372220552731787</v>
      </c>
      <c r="M113">
        <v>-5.6180555468103285E-2</v>
      </c>
      <c r="N113"/>
      <c r="O113"/>
      <c r="P113"/>
      <c r="Q113"/>
    </row>
    <row r="114" spans="1:17">
      <c r="A114" s="6">
        <v>42461</v>
      </c>
      <c r="B114" s="8">
        <f>Returns!B114/Returns!B113-1</f>
        <v>-0.13992113222553659</v>
      </c>
      <c r="C114" s="8">
        <f>Returns!C114/Returns!C113-1</f>
        <v>-6.9722801749548813E-2</v>
      </c>
      <c r="D114" s="8">
        <f>Returns!D114/Returns!D113-1</f>
        <v>5.7542900160430177E-2</v>
      </c>
      <c r="E114" s="8">
        <f>Returns!E114/Returns!E113-1</f>
        <v>7.1069186728243805E-2</v>
      </c>
      <c r="F114" s="8">
        <f>Returns!F114/Returns!F113-1</f>
        <v>-8.216403458166166E-2</v>
      </c>
      <c r="G114" s="8">
        <f>Returns!G114/Returns!G113-1</f>
        <v>2.6993984808731941E-3</v>
      </c>
      <c r="H114" s="8">
        <f>Returns!H114/Returns!H113-1</f>
        <v>4.4934640522875657E-2</v>
      </c>
      <c r="J114" s="6">
        <v>42461</v>
      </c>
      <c r="K114">
        <v>6.3508927101734655E-3</v>
      </c>
      <c r="L114">
        <v>-7.7989899689939163E-2</v>
      </c>
      <c r="M114">
        <v>-1.5337676443556722E-2</v>
      </c>
      <c r="N114"/>
      <c r="O114"/>
      <c r="P114"/>
      <c r="Q114"/>
    </row>
    <row r="115" spans="1:17">
      <c r="A115" s="6">
        <v>42492</v>
      </c>
      <c r="B115" s="8">
        <f>Returns!B115/Returns!B114-1</f>
        <v>7.1772991026140431E-2</v>
      </c>
      <c r="C115" s="8">
        <f>Returns!C115/Returns!C114-1</f>
        <v>6.1629645147549983E-2</v>
      </c>
      <c r="D115" s="8">
        <f>Returns!D115/Returns!D114-1</f>
        <v>1.5476693159166111E-2</v>
      </c>
      <c r="E115" s="8">
        <f>Returns!E115/Returns!E114-1</f>
        <v>-1.0992969756503657E-3</v>
      </c>
      <c r="F115" s="8">
        <f>Returns!F115/Returns!F114-1</f>
        <v>-6.079436091866719E-2</v>
      </c>
      <c r="G115" s="8">
        <f>Returns!G115/Returns!G114-1</f>
        <v>1.5324602357572603E-2</v>
      </c>
      <c r="H115" s="8">
        <f>Returns!H115/Returns!H114-1</f>
        <v>6.2548866301798345E-2</v>
      </c>
      <c r="J115" s="6">
        <v>42492</v>
      </c>
      <c r="K115">
        <v>4.7742113889340174E-2</v>
      </c>
      <c r="L115">
        <v>-4.6203144964326023E-2</v>
      </c>
      <c r="M115">
        <v>-8.454923033267743E-2</v>
      </c>
      <c r="N115"/>
      <c r="O115"/>
      <c r="P115"/>
      <c r="Q115"/>
    </row>
    <row r="116" spans="1:17">
      <c r="A116" s="6">
        <v>42522</v>
      </c>
      <c r="B116" s="8">
        <f>Returns!B116/Returns!B115-1</f>
        <v>-4.2659759834528854E-2</v>
      </c>
      <c r="C116" s="8">
        <f>Returns!C116/Returns!C115-1</f>
        <v>-5.9288855433285548E-2</v>
      </c>
      <c r="D116" s="8">
        <f>Returns!D116/Returns!D115-1</f>
        <v>5.3021833479077074E-2</v>
      </c>
      <c r="E116" s="8">
        <f>Returns!E116/Returns!E115-1</f>
        <v>3.792083631318599E-2</v>
      </c>
      <c r="F116" s="8">
        <f>Returns!F116/Returns!F115-1</f>
        <v>-6.764173388816741E-2</v>
      </c>
      <c r="G116" s="8">
        <f>Returns!G116/Returns!G115-1</f>
        <v>9.1092112097812539E-4</v>
      </c>
      <c r="H116" s="8">
        <f>Returns!H116/Returns!H115-1</f>
        <v>-0.25607064017660053</v>
      </c>
      <c r="J116" s="6">
        <v>42522</v>
      </c>
      <c r="K116">
        <v>-0.24714396566937466</v>
      </c>
      <c r="L116">
        <v>8.5246716015136559E-2</v>
      </c>
      <c r="M116">
        <v>-1.6250731568953642E-2</v>
      </c>
      <c r="N116"/>
      <c r="O116"/>
      <c r="P116"/>
      <c r="Q116"/>
    </row>
    <row r="117" spans="1:17">
      <c r="A117" s="6">
        <v>42552</v>
      </c>
      <c r="B117" s="8">
        <f>Returns!B117/Returns!B116-1</f>
        <v>9.0062768281169436E-2</v>
      </c>
      <c r="C117" s="8">
        <f>Returns!C117/Returns!C116-1</f>
        <v>0.11080769348271158</v>
      </c>
      <c r="D117" s="8">
        <f>Returns!D117/Returns!D116-1</f>
        <v>-5.1098767146903312E-2</v>
      </c>
      <c r="E117" s="8">
        <f>Returns!E117/Returns!E116-1</f>
        <v>-2.2417295323855169E-2</v>
      </c>
      <c r="F117" s="8">
        <f>Returns!F117/Returns!F116-1</f>
        <v>2.5098009925994091E-2</v>
      </c>
      <c r="G117" s="8">
        <f>Returns!G117/Returns!G116-1</f>
        <v>3.5609801125254359E-2</v>
      </c>
      <c r="H117" s="8">
        <f>Returns!H117/Returns!H116-1</f>
        <v>2.1760633036597365E-2</v>
      </c>
      <c r="J117" s="6">
        <v>42552</v>
      </c>
      <c r="K117">
        <v>5.1725838515018142E-2</v>
      </c>
      <c r="L117">
        <v>3.9891848356563397E-2</v>
      </c>
      <c r="M117">
        <v>-6.286040507653054E-2</v>
      </c>
      <c r="N117"/>
      <c r="O117"/>
      <c r="P117"/>
      <c r="Q117"/>
    </row>
    <row r="118" spans="1:17">
      <c r="A118" s="6">
        <v>42583</v>
      </c>
      <c r="B118" s="8">
        <f>Returns!B118/Returns!B117-1</f>
        <v>2.3651849880739872E-2</v>
      </c>
      <c r="C118" s="8">
        <f>Returns!C118/Returns!C117-1</f>
        <v>-2.2632839264198346E-3</v>
      </c>
      <c r="D118" s="8">
        <f>Returns!D118/Returns!D117-1</f>
        <v>-1.1994438537520358E-2</v>
      </c>
      <c r="E118" s="8">
        <f>Returns!E118/Returns!E117-1</f>
        <v>-8.1988894698730164E-3</v>
      </c>
      <c r="F118" s="8">
        <f>Returns!F118/Returns!F117-1</f>
        <v>7.0575834703689777E-2</v>
      </c>
      <c r="G118" s="8">
        <f>Returns!G118/Returns!G117-1</f>
        <v>-1.2192431360480427E-3</v>
      </c>
      <c r="H118" s="8">
        <f>Returns!H118/Returns!H117-1</f>
        <v>0.14230396902226539</v>
      </c>
      <c r="J118" s="6">
        <v>42583</v>
      </c>
      <c r="K118">
        <v>0.1457145247056916</v>
      </c>
      <c r="L118">
        <v>-3.1970971805442998E-2</v>
      </c>
      <c r="M118">
        <v>5.0129120960576055E-2</v>
      </c>
      <c r="N118"/>
      <c r="O118"/>
      <c r="P118"/>
      <c r="Q118"/>
    </row>
    <row r="119" spans="1:17">
      <c r="A119" s="6">
        <v>42614</v>
      </c>
      <c r="B119" s="8">
        <f>Returns!B119/Returns!B118-1</f>
        <v>6.5504296939512097E-2</v>
      </c>
      <c r="C119" s="8">
        <f>Returns!C119/Returns!C118-1</f>
        <v>1.3349833987612358E-2</v>
      </c>
      <c r="D119" s="8">
        <f>Returns!D119/Returns!D118-1</f>
        <v>1.6065149650417165E-3</v>
      </c>
      <c r="E119" s="8">
        <f>Returns!E119/Returns!E118-1</f>
        <v>2.3265030987549062E-2</v>
      </c>
      <c r="F119" s="8">
        <f>Returns!F119/Returns!F118-1</f>
        <v>-4.2457037896751593E-2</v>
      </c>
      <c r="G119" s="8">
        <f>Returns!G119/Returns!G118-1</f>
        <v>-1.2344508443253854E-3</v>
      </c>
      <c r="H119" s="8">
        <f>Returns!H119/Returns!H118-1</f>
        <v>-2.033898305084747E-2</v>
      </c>
      <c r="J119" s="6">
        <v>42614</v>
      </c>
      <c r="K119">
        <v>-2.7189736547259057E-2</v>
      </c>
      <c r="L119">
        <v>-7.904751631228616E-3</v>
      </c>
      <c r="M119">
        <v>-4.0050479993331591E-2</v>
      </c>
      <c r="N119"/>
      <c r="O119"/>
      <c r="P119"/>
      <c r="Q119"/>
    </row>
    <row r="120" spans="1:17">
      <c r="A120" s="6">
        <v>42646</v>
      </c>
      <c r="B120" s="8">
        <f>Returns!B120/Returns!B119-1</f>
        <v>4.3343467777228195E-3</v>
      </c>
      <c r="C120" s="8">
        <f>Returns!C120/Returns!C119-1</f>
        <v>9.327278371264347E-3</v>
      </c>
      <c r="D120" s="8">
        <f>Returns!D120/Returns!D119-1</f>
        <v>-4.5371178429055581E-2</v>
      </c>
      <c r="E120" s="8">
        <f>Returns!E120/Returns!E119-1</f>
        <v>1.7780857882204959E-2</v>
      </c>
      <c r="F120" s="8">
        <f>Returns!F120/Returns!F119-1</f>
        <v>0.11773584483085453</v>
      </c>
      <c r="G120" s="8">
        <f>Returns!G120/Returns!G119-1</f>
        <v>-1.9425679279557517E-2</v>
      </c>
      <c r="H120" s="8">
        <f>Returns!H120/Returns!H119-1</f>
        <v>0.13581314878892736</v>
      </c>
      <c r="J120" s="6">
        <v>42646</v>
      </c>
      <c r="K120">
        <v>0.15981510868898569</v>
      </c>
      <c r="L120">
        <v>4.0906759320046976E-3</v>
      </c>
      <c r="M120">
        <v>7.023104204817926E-2</v>
      </c>
      <c r="N120"/>
      <c r="O120"/>
      <c r="P120"/>
      <c r="Q120"/>
    </row>
    <row r="121" spans="1:17">
      <c r="A121" s="6">
        <v>42675</v>
      </c>
      <c r="B121" s="8">
        <f>Returns!B121/Returns!B120-1</f>
        <v>-2.1600913604516547E-2</v>
      </c>
      <c r="C121" s="8">
        <f>Returns!C121/Returns!C120-1</f>
        <v>-3.3777756064841347E-2</v>
      </c>
      <c r="D121" s="8">
        <f>Returns!D121/Returns!D120-1</f>
        <v>5.7045473004948555E-2</v>
      </c>
      <c r="E121" s="8">
        <f>Returns!E121/Returns!E120-1</f>
        <v>7.567385988379649E-2</v>
      </c>
      <c r="F121" s="8">
        <f>Returns!F121/Returns!F120-1</f>
        <v>4.8894231047745818E-2</v>
      </c>
      <c r="G121" s="8">
        <f>Returns!G121/Returns!G120-1</f>
        <v>3.4174522187570444E-2</v>
      </c>
      <c r="H121" s="8">
        <f>Returns!H121/Returns!H120-1</f>
        <v>0.3968012185833969</v>
      </c>
      <c r="J121" s="6">
        <v>42675</v>
      </c>
      <c r="K121">
        <v>0.37166906270718769</v>
      </c>
      <c r="L121">
        <v>-0.15322472077756649</v>
      </c>
      <c r="M121">
        <v>3.800271785253715E-2</v>
      </c>
      <c r="N121"/>
      <c r="O121"/>
      <c r="P121"/>
      <c r="Q121"/>
    </row>
    <row r="122" spans="1:17">
      <c r="A122" s="6">
        <v>42705</v>
      </c>
      <c r="B122" s="8">
        <f>Returns!B122/Returns!B121-1</f>
        <v>4.7955149691145893E-2</v>
      </c>
      <c r="C122" s="8">
        <f>Returns!C122/Returns!C121-1</f>
        <v>1.8178499023701944E-2</v>
      </c>
      <c r="D122" s="8">
        <f>Returns!D122/Returns!D121-1</f>
        <v>3.3906058399562733E-2</v>
      </c>
      <c r="E122" s="8">
        <f>Returns!E122/Returns!E121-1</f>
        <v>5.5037639925378912E-2</v>
      </c>
      <c r="F122" s="8">
        <f>Returns!F122/Returns!F121-1</f>
        <v>0.10981154792378889</v>
      </c>
      <c r="G122" s="8">
        <f>Returns!G122/Returns!G121-1</f>
        <v>1.8200762196895148E-2</v>
      </c>
      <c r="H122" s="8">
        <f>Returns!H122/Returns!H121-1</f>
        <v>5.4525627044710978E-2</v>
      </c>
      <c r="J122" s="6">
        <v>42705</v>
      </c>
      <c r="K122">
        <v>0.10977399112074659</v>
      </c>
      <c r="L122">
        <v>7.4898052298233764E-2</v>
      </c>
      <c r="M122">
        <v>3.2834313829446342E-2</v>
      </c>
      <c r="N122"/>
      <c r="O122"/>
      <c r="P122"/>
      <c r="Q122"/>
    </row>
    <row r="123" spans="1:17">
      <c r="A123" s="6">
        <v>42738</v>
      </c>
      <c r="B123" s="8">
        <f>Returns!B123/Returns!B122-1</f>
        <v>5.2926929718528859E-2</v>
      </c>
      <c r="C123" s="8">
        <f>Returns!C123/Returns!C122-1</f>
        <v>6.67124336412801E-2</v>
      </c>
      <c r="D123" s="8">
        <f>Returns!D123/Returns!D122-1</f>
        <v>-5.2625746673482188E-2</v>
      </c>
      <c r="E123" s="8">
        <f>Returns!E123/Returns!E122-1</f>
        <v>-3.3220017839082794E-2</v>
      </c>
      <c r="F123" s="8">
        <f>Returns!F123/Returns!F122-1</f>
        <v>-1.4783401639344218E-2</v>
      </c>
      <c r="G123" s="8">
        <f>Returns!G123/Returns!G122-1</f>
        <v>2.4950470135679526E-2</v>
      </c>
      <c r="H123" s="8">
        <f>Returns!H123/Returns!H122-1</f>
        <v>3.6194415718717732E-3</v>
      </c>
      <c r="J123" s="6">
        <v>42738</v>
      </c>
      <c r="K123">
        <v>6.1224676380256422E-3</v>
      </c>
      <c r="L123">
        <v>1.2855273526700653E-3</v>
      </c>
      <c r="M123">
        <v>-4.8803493575014303E-2</v>
      </c>
      <c r="N123"/>
      <c r="O123"/>
      <c r="P123"/>
      <c r="Q123"/>
    </row>
    <row r="124" spans="1:17">
      <c r="A124" s="6"/>
      <c r="B124" s="8"/>
      <c r="C124" s="8"/>
      <c r="D124" s="8"/>
      <c r="E124" s="8"/>
      <c r="F124" s="8"/>
      <c r="G124" s="8"/>
      <c r="H124" s="8"/>
      <c r="J124" s="6"/>
      <c r="K124"/>
      <c r="L124"/>
      <c r="M124"/>
      <c r="N124"/>
      <c r="O124"/>
      <c r="P124"/>
      <c r="Q124"/>
    </row>
    <row r="125" spans="1:17">
      <c r="A125" s="37" t="s">
        <v>23</v>
      </c>
      <c r="B125" s="38">
        <f>AVERAGE(B4:B123)</f>
        <v>2.4486185117057743E-2</v>
      </c>
      <c r="C125" s="38">
        <f t="shared" ref="C125:H125" si="0">AVERAGE(C4:C123)</f>
        <v>1.3363285574586959E-2</v>
      </c>
      <c r="D125" s="38">
        <f t="shared" si="0"/>
        <v>4.4320804233209145E-3</v>
      </c>
      <c r="E125" s="38">
        <f t="shared" si="0"/>
        <v>8.3943177935844014E-3</v>
      </c>
      <c r="F125" s="38">
        <f t="shared" si="0"/>
        <v>1.021427566837564E-2</v>
      </c>
      <c r="G125" s="38">
        <f t="shared" si="0"/>
        <v>4.8866798407139452E-3</v>
      </c>
      <c r="H125" s="38">
        <f t="shared" si="0"/>
        <v>3.2333479956958037E-3</v>
      </c>
      <c r="J125" s="6"/>
      <c r="K125"/>
      <c r="L125"/>
      <c r="M125"/>
      <c r="N125"/>
      <c r="O125"/>
      <c r="P125"/>
      <c r="Q125"/>
    </row>
    <row r="126" spans="1:17">
      <c r="A126" s="37" t="s">
        <v>24</v>
      </c>
      <c r="B126" s="38">
        <f>STDEV(B4:B123)</f>
        <v>9.194082192642368E-2</v>
      </c>
      <c r="C126" s="38">
        <f t="shared" ref="C126:H126" si="1">STDEV(C4:C123)</f>
        <v>8.3802241970387562E-2</v>
      </c>
      <c r="D126" s="38">
        <f t="shared" si="1"/>
        <v>4.6813637473071976E-2</v>
      </c>
      <c r="E126" s="38">
        <f t="shared" si="1"/>
        <v>5.9102530729938298E-2</v>
      </c>
      <c r="F126" s="38">
        <f t="shared" si="1"/>
        <v>0.10833661734273201</v>
      </c>
      <c r="G126" s="38">
        <f t="shared" si="1"/>
        <v>4.4158565692867108E-2</v>
      </c>
      <c r="H126" s="38">
        <f t="shared" si="1"/>
        <v>0.15022307914963975</v>
      </c>
      <c r="J126" s="6"/>
      <c r="K126"/>
      <c r="L126"/>
      <c r="M126"/>
      <c r="N126"/>
      <c r="O126"/>
      <c r="P126"/>
      <c r="Q126"/>
    </row>
    <row r="127" spans="1:17">
      <c r="A127" s="6"/>
      <c r="B127" s="8"/>
      <c r="C127" s="8"/>
      <c r="D127" s="8"/>
      <c r="E127" s="8"/>
      <c r="F127" s="8"/>
      <c r="G127" s="8"/>
      <c r="H127" s="8"/>
      <c r="J127" s="6"/>
      <c r="K127"/>
      <c r="L127"/>
      <c r="M127"/>
      <c r="N127"/>
      <c r="O127"/>
      <c r="P127"/>
      <c r="Q127"/>
    </row>
    <row r="128" spans="1:17">
      <c r="J128" s="7"/>
      <c r="K128"/>
      <c r="L128"/>
      <c r="M128"/>
      <c r="N128"/>
      <c r="O128"/>
      <c r="P128"/>
      <c r="Q128"/>
    </row>
    <row r="129" spans="1:17">
      <c r="B129" s="12" t="s">
        <v>10</v>
      </c>
      <c r="C129" s="13"/>
      <c r="D129" s="13"/>
      <c r="E129" s="13"/>
      <c r="F129" s="13"/>
      <c r="G129" s="13"/>
      <c r="H129" s="14"/>
      <c r="J129" s="26"/>
      <c r="K129"/>
      <c r="L129"/>
      <c r="M129"/>
      <c r="N129"/>
      <c r="O129"/>
      <c r="P129"/>
      <c r="Q129"/>
    </row>
    <row r="130" spans="1:17">
      <c r="B130" s="4" t="s">
        <v>2</v>
      </c>
      <c r="C130" s="4" t="s">
        <v>1</v>
      </c>
      <c r="D130" s="4" t="s">
        <v>3</v>
      </c>
      <c r="E130" s="4" t="s">
        <v>4</v>
      </c>
      <c r="F130" s="4" t="s">
        <v>5</v>
      </c>
      <c r="G130" s="4" t="s">
        <v>6</v>
      </c>
      <c r="H130" s="4" t="s">
        <v>7</v>
      </c>
      <c r="J130" s="4" t="s">
        <v>16</v>
      </c>
      <c r="K130" s="4" t="s">
        <v>17</v>
      </c>
      <c r="L130" s="4" t="s">
        <v>18</v>
      </c>
      <c r="N130" s="23"/>
      <c r="O130"/>
      <c r="P130"/>
      <c r="Q130"/>
    </row>
    <row r="131" spans="1:17">
      <c r="A131" s="4" t="s">
        <v>2</v>
      </c>
      <c r="B131" s="16">
        <f>CORREL($B$4:$B$123,B4:B123)</f>
        <v>1</v>
      </c>
      <c r="C131" s="15">
        <f>CORREL($B$4:$B$123,C4:C123)</f>
        <v>0.56708943078760476</v>
      </c>
      <c r="D131" s="15">
        <f t="shared" ref="D131:H131" si="2">CORREL($B$4:$B$123,D4:D123)</f>
        <v>0.28546721952066617</v>
      </c>
      <c r="E131" s="15">
        <f t="shared" si="2"/>
        <v>0.39123684565665895</v>
      </c>
      <c r="F131" s="15">
        <f t="shared" si="2"/>
        <v>0.32553971543961452</v>
      </c>
      <c r="G131" s="15">
        <f t="shared" si="2"/>
        <v>0.57586262023504686</v>
      </c>
      <c r="H131" s="15">
        <f t="shared" si="2"/>
        <v>0.1564068060792603</v>
      </c>
      <c r="J131" s="27">
        <f>CORREL($B$4:$B$122,K4:K122)</f>
        <v>0.33495893013635836</v>
      </c>
      <c r="K131" s="27">
        <f>CORREL($B$4:$B$122,L4:L122)</f>
        <v>0.380691517870826</v>
      </c>
      <c r="L131" s="27">
        <f>CORREL($B$4:$B$122,M4:M122)</f>
        <v>-0.34872350581684824</v>
      </c>
      <c r="N131" s="23"/>
      <c r="O131"/>
      <c r="P131"/>
      <c r="Q131"/>
    </row>
    <row r="132" spans="1:17">
      <c r="A132" s="4" t="s">
        <v>1</v>
      </c>
      <c r="B132" s="15">
        <f>CORREL($C$4:$C$123,B4:B123)</f>
        <v>0.56708943078760476</v>
      </c>
      <c r="C132" s="16">
        <f t="shared" ref="C132:H132" si="3">CORREL($C$4:$C$123,C4:C123)</f>
        <v>0.99999999999999989</v>
      </c>
      <c r="D132" s="15">
        <f t="shared" si="3"/>
        <v>0.2951290529103599</v>
      </c>
      <c r="E132" s="15">
        <f t="shared" si="3"/>
        <v>0.35785452417183816</v>
      </c>
      <c r="F132" s="15">
        <f t="shared" si="3"/>
        <v>0.39666486699722103</v>
      </c>
      <c r="G132" s="15">
        <f t="shared" si="3"/>
        <v>0.56636131473120932</v>
      </c>
      <c r="H132" s="15">
        <f t="shared" si="3"/>
        <v>0.24777513544286278</v>
      </c>
      <c r="J132" s="15">
        <f>CORREL($C$4:$C$122,K4:K122)</f>
        <v>0.47882317312931982</v>
      </c>
      <c r="K132" s="15">
        <f>CORREL($C$4:$C$122,L4:L122)</f>
        <v>0.47798200460668383</v>
      </c>
      <c r="L132" s="15">
        <f>CORREL($C$4:$C$122,M4:M122)</f>
        <v>-0.66101057426887533</v>
      </c>
      <c r="M132" s="35"/>
      <c r="N132" s="23"/>
      <c r="O132"/>
      <c r="P132"/>
      <c r="Q132"/>
    </row>
    <row r="133" spans="1:17">
      <c r="A133" s="4" t="s">
        <v>3</v>
      </c>
      <c r="B133" s="15">
        <f>CORREL($D$4:$D$123,B4:B123)</f>
        <v>0.28546721952066617</v>
      </c>
      <c r="C133" s="15">
        <f t="shared" ref="C133:H133" si="4">CORREL($D$4:$D$123,C4:C123)</f>
        <v>0.2951290529103599</v>
      </c>
      <c r="D133" s="16">
        <f t="shared" si="4"/>
        <v>1</v>
      </c>
      <c r="E133" s="15">
        <f t="shared" si="4"/>
        <v>0.79531842764736704</v>
      </c>
      <c r="F133" s="15">
        <f t="shared" si="4"/>
        <v>0.3437909560687325</v>
      </c>
      <c r="G133" s="15">
        <f t="shared" si="4"/>
        <v>0.5476137710757768</v>
      </c>
      <c r="H133" s="15">
        <f t="shared" si="4"/>
        <v>0.19003959997516648</v>
      </c>
      <c r="J133" s="15">
        <f>CORREL($D$4:$D$122,K4:K122)</f>
        <v>0.37823721809177152</v>
      </c>
      <c r="K133" s="15">
        <f>CORREL($D$4:$D$122,L4:L122)</f>
        <v>0.39298873329231321</v>
      </c>
      <c r="L133" s="15">
        <f>CORREL($D$4:$D$122,M4:M122)</f>
        <v>-0.22699171868809628</v>
      </c>
      <c r="M133" s="35"/>
      <c r="N133" s="23"/>
      <c r="O133"/>
      <c r="P133"/>
      <c r="Q133"/>
    </row>
    <row r="134" spans="1:17">
      <c r="A134" s="4" t="s">
        <v>4</v>
      </c>
      <c r="B134" s="15">
        <f>CORREL($E$4:$E$123,B4:B123)</f>
        <v>0.39123684565665895</v>
      </c>
      <c r="C134" s="15">
        <f t="shared" ref="C134:H134" si="5">CORREL($E$4:$E$123,C4:C123)</f>
        <v>0.35785452417183816</v>
      </c>
      <c r="D134" s="15">
        <f t="shared" si="5"/>
        <v>0.79531842764736704</v>
      </c>
      <c r="E134" s="16">
        <f t="shared" si="5"/>
        <v>1</v>
      </c>
      <c r="F134" s="15">
        <f t="shared" si="5"/>
        <v>0.40196876681340454</v>
      </c>
      <c r="G134" s="15">
        <f t="shared" si="5"/>
        <v>0.64237499452458091</v>
      </c>
      <c r="H134" s="15">
        <f t="shared" si="5"/>
        <v>0.23605161068659838</v>
      </c>
      <c r="J134" s="15">
        <f>CORREL($E$4:$E$122,K4:K122)</f>
        <v>0.44567340713915921</v>
      </c>
      <c r="K134" s="15">
        <f>CORREL($E$4:$E$122,L4:L122)</f>
        <v>0.43439402114440295</v>
      </c>
      <c r="L134" s="15">
        <f>CORREL($E$4:$E$122,M4:M122)</f>
        <v>-0.24848095653680824</v>
      </c>
      <c r="M134" s="35"/>
      <c r="N134" s="23"/>
      <c r="O134"/>
      <c r="P134"/>
      <c r="Q134"/>
    </row>
    <row r="135" spans="1:17">
      <c r="A135" s="4" t="s">
        <v>5</v>
      </c>
      <c r="B135" s="15">
        <f>CORREL($F$4:$F$123,B4:B123)</f>
        <v>0.32553971543961452</v>
      </c>
      <c r="C135" s="15">
        <f t="shared" ref="C135:H135" si="6">CORREL($F$4:$F$123,C4:C123)</f>
        <v>0.39666486699722103</v>
      </c>
      <c r="D135" s="15">
        <f t="shared" si="6"/>
        <v>0.3437909560687325</v>
      </c>
      <c r="E135" s="15">
        <f t="shared" si="6"/>
        <v>0.40196876681340454</v>
      </c>
      <c r="F135" s="16">
        <f t="shared" si="6"/>
        <v>1.0000000000000002</v>
      </c>
      <c r="G135" s="15">
        <f t="shared" si="6"/>
        <v>0.58552985028164106</v>
      </c>
      <c r="H135" s="15">
        <f t="shared" si="6"/>
        <v>0.29089458472398477</v>
      </c>
      <c r="J135" s="15">
        <f>CORREL($F$4:$F$122,K4:K122)</f>
        <v>0.60022509924683742</v>
      </c>
      <c r="K135" s="15">
        <f>CORREL($F$4:$F$122,L4:L122)</f>
        <v>0.69254520311331136</v>
      </c>
      <c r="L135" s="15">
        <f>CORREL($F$4:$F$122,M4:M122)</f>
        <v>0.38486137776627927</v>
      </c>
      <c r="M135" s="35"/>
      <c r="N135" s="23"/>
      <c r="O135"/>
      <c r="P135"/>
      <c r="Q135"/>
    </row>
    <row r="136" spans="1:17">
      <c r="A136" s="4" t="s">
        <v>6</v>
      </c>
      <c r="B136" s="15">
        <f>CORREL($G$4:$G$123,B4:B123)</f>
        <v>0.57586262023504686</v>
      </c>
      <c r="C136" s="15">
        <f t="shared" ref="C136:H136" si="7">CORREL($G$4:$G$123,C4:C123)</f>
        <v>0.56636131473120932</v>
      </c>
      <c r="D136" s="15">
        <f t="shared" si="7"/>
        <v>0.5476137710757768</v>
      </c>
      <c r="E136" s="15">
        <f t="shared" si="7"/>
        <v>0.64237499452458091</v>
      </c>
      <c r="F136" s="15">
        <f t="shared" si="7"/>
        <v>0.58552985028164106</v>
      </c>
      <c r="G136" s="16">
        <f t="shared" si="7"/>
        <v>1.0000000000000002</v>
      </c>
      <c r="H136" s="15">
        <f t="shared" si="7"/>
        <v>0.27147785129613455</v>
      </c>
      <c r="J136" s="15">
        <f>CORREL($G$4:$G$122,K4:K122)</f>
        <v>0.53372862928770204</v>
      </c>
      <c r="K136" s="15">
        <f>CORREL($G$4:$G$122,L4:L122)</f>
        <v>0.55914179422010535</v>
      </c>
      <c r="L136" s="15">
        <f>CORREL($G$4:$G$122,M4:M122)</f>
        <v>-0.21469960071117375</v>
      </c>
      <c r="M136" s="35"/>
      <c r="N136" s="23"/>
      <c r="O136"/>
      <c r="P136"/>
      <c r="Q136"/>
    </row>
    <row r="137" spans="1:17">
      <c r="A137" s="22" t="s">
        <v>7</v>
      </c>
      <c r="B137" s="28">
        <f>CORREL($H$4:$H$123,B4:B123)</f>
        <v>0.1564068060792603</v>
      </c>
      <c r="C137" s="28">
        <f t="shared" ref="C137:H137" si="8">CORREL($H$4:$H$123,C4:C123)</f>
        <v>0.24777513544286278</v>
      </c>
      <c r="D137" s="28">
        <f t="shared" si="8"/>
        <v>0.19003959997516648</v>
      </c>
      <c r="E137" s="28">
        <f t="shared" si="8"/>
        <v>0.23605161068659838</v>
      </c>
      <c r="F137" s="28">
        <f t="shared" si="8"/>
        <v>0.29089458472398477</v>
      </c>
      <c r="G137" s="28">
        <f t="shared" si="8"/>
        <v>0.27147785129613455</v>
      </c>
      <c r="H137" s="29">
        <f t="shared" si="8"/>
        <v>0.99999999999999989</v>
      </c>
      <c r="J137" s="28">
        <f>CORREL($H$4:$H$122,K4:K122)</f>
        <v>0.92188731028684734</v>
      </c>
      <c r="K137" s="28">
        <f>CORREL($H$4:$H$122,L4:L122)</f>
        <v>-0.38722246647667902</v>
      </c>
      <c r="L137" s="28">
        <f>CORREL($H$4:$H$122,M4:M122)</f>
        <v>1.408247641716647E-2</v>
      </c>
      <c r="M137" s="35"/>
      <c r="N137" s="23"/>
      <c r="O137"/>
      <c r="P137"/>
      <c r="Q137"/>
    </row>
    <row r="138" spans="1:17" s="23" customFormat="1">
      <c r="A138" s="24"/>
      <c r="B138" s="34"/>
      <c r="C138" s="34"/>
      <c r="D138" s="34"/>
      <c r="E138" s="34"/>
      <c r="F138" s="34"/>
      <c r="G138" s="34"/>
      <c r="H138" s="34"/>
      <c r="J138" s="24"/>
      <c r="K138" s="24"/>
      <c r="L138" s="24"/>
      <c r="M138" s="24"/>
    </row>
    <row r="139" spans="1:17" s="23" customFormat="1">
      <c r="A139" s="40" t="s">
        <v>16</v>
      </c>
      <c r="B139" s="34">
        <v>0.33495893013635836</v>
      </c>
      <c r="C139" s="34">
        <v>0.47882317312931982</v>
      </c>
      <c r="D139" s="34">
        <v>0.37823721809177152</v>
      </c>
      <c r="E139" s="34">
        <v>0.44567340713915921</v>
      </c>
      <c r="F139" s="34">
        <v>0.60022509924683742</v>
      </c>
      <c r="G139" s="34">
        <v>0.53372862928770204</v>
      </c>
      <c r="H139" s="34">
        <v>0.92188731028684734</v>
      </c>
      <c r="J139" s="36">
        <f>CORREL($K$4:$K$122,K4:K122)</f>
        <v>1</v>
      </c>
      <c r="K139" s="36">
        <f t="shared" ref="K139:L139" si="9">CORREL($K$4:$K$122,L4:L122)</f>
        <v>-3.8518415362278039E-5</v>
      </c>
      <c r="L139" s="36">
        <f t="shared" si="9"/>
        <v>-1.9526604428374308E-4</v>
      </c>
      <c r="M139" s="24"/>
    </row>
    <row r="140" spans="1:17" s="23" customFormat="1">
      <c r="A140" s="40" t="s">
        <v>17</v>
      </c>
      <c r="B140" s="41">
        <v>0.380691517870826</v>
      </c>
      <c r="C140" s="34">
        <v>0.47798200460668383</v>
      </c>
      <c r="D140" s="34">
        <v>0.39298873329231321</v>
      </c>
      <c r="E140" s="34">
        <v>0.43439402114440295</v>
      </c>
      <c r="F140" s="34">
        <v>0.69254520311331136</v>
      </c>
      <c r="G140" s="34">
        <v>0.55914179422010535</v>
      </c>
      <c r="H140" s="34">
        <v>-0.38722246647667902</v>
      </c>
      <c r="J140" s="36">
        <f>CORREL($L$4:$L$122,K4:K122)</f>
        <v>-3.8518415362278039E-5</v>
      </c>
      <c r="K140" s="36">
        <f t="shared" ref="K140:L140" si="10">CORREL($L$4:$L$122,L4:L122)</f>
        <v>1</v>
      </c>
      <c r="L140" s="36">
        <f t="shared" si="10"/>
        <v>-5.5441047403898089E-4</v>
      </c>
      <c r="M140" s="24"/>
    </row>
    <row r="141" spans="1:17" s="23" customFormat="1">
      <c r="A141" s="40" t="s">
        <v>18</v>
      </c>
      <c r="B141" s="34">
        <v>-0.34872350581684824</v>
      </c>
      <c r="C141" s="34">
        <v>-0.66101057426887533</v>
      </c>
      <c r="D141" s="34">
        <v>-0.22699171868809628</v>
      </c>
      <c r="E141" s="34">
        <v>-0.24848095653680824</v>
      </c>
      <c r="F141" s="34">
        <v>0.38486137776627927</v>
      </c>
      <c r="G141" s="34">
        <v>-0.21469960071117375</v>
      </c>
      <c r="H141" s="34">
        <v>1.408247641716647E-2</v>
      </c>
      <c r="J141" s="36">
        <f>CORREL($M$4:$M$122,K4:K122)</f>
        <v>-1.9526604428374308E-4</v>
      </c>
      <c r="K141" s="36">
        <f t="shared" ref="K141:L141" si="11">CORREL($M$4:$M$122,L4:L122)</f>
        <v>-5.5441047403898089E-4</v>
      </c>
      <c r="L141" s="36">
        <f t="shared" si="11"/>
        <v>1.0000000000000002</v>
      </c>
      <c r="M141" s="24"/>
    </row>
    <row r="142" spans="1:17">
      <c r="A142" s="24"/>
      <c r="B142" s="24"/>
      <c r="C142" s="24"/>
      <c r="D142" s="24"/>
      <c r="E142" s="24"/>
      <c r="F142" s="24"/>
      <c r="G142" s="24"/>
      <c r="H142" s="24"/>
    </row>
    <row r="143" spans="1:17">
      <c r="A143" s="30"/>
      <c r="B143" s="31" t="s">
        <v>11</v>
      </c>
      <c r="C143" s="32"/>
      <c r="D143" s="32"/>
      <c r="E143" s="32"/>
      <c r="F143" s="32"/>
      <c r="G143" s="32"/>
      <c r="H143" s="33"/>
    </row>
    <row r="144" spans="1:17">
      <c r="B144" s="4" t="s">
        <v>2</v>
      </c>
      <c r="C144" s="4" t="s">
        <v>1</v>
      </c>
      <c r="D144" s="4" t="s">
        <v>3</v>
      </c>
      <c r="E144" s="4" t="s">
        <v>4</v>
      </c>
      <c r="F144" s="4" t="s">
        <v>5</v>
      </c>
      <c r="G144" s="4" t="s">
        <v>6</v>
      </c>
      <c r="H144" s="4" t="s">
        <v>7</v>
      </c>
    </row>
    <row r="145" spans="1:10">
      <c r="A145" s="4" t="s">
        <v>2</v>
      </c>
      <c r="B145" s="17">
        <f>COVAR($B$4:$B$123,B4:B123)</f>
        <v>8.3826721137021352E-3</v>
      </c>
      <c r="C145" s="17">
        <f t="shared" ref="C145:H145" si="12">COVAR($B$4:$B$123,C4:C123)</f>
        <v>4.3329261587663594E-3</v>
      </c>
      <c r="D145" s="17">
        <f t="shared" si="12"/>
        <v>1.218436021435692E-3</v>
      </c>
      <c r="E145" s="17">
        <f t="shared" si="12"/>
        <v>2.1082393905811712E-3</v>
      </c>
      <c r="F145" s="17">
        <f t="shared" si="12"/>
        <v>3.2155357916201872E-3</v>
      </c>
      <c r="G145" s="17">
        <f t="shared" si="12"/>
        <v>2.318504509578954E-3</v>
      </c>
      <c r="H145" s="17">
        <f t="shared" si="12"/>
        <v>2.142231516518627E-3</v>
      </c>
    </row>
    <row r="146" spans="1:10">
      <c r="A146" s="4" t="s">
        <v>1</v>
      </c>
      <c r="B146" s="17">
        <f>COVAR($C$4:$C$123,B4:B123)</f>
        <v>4.3329261587663594E-3</v>
      </c>
      <c r="C146" s="17">
        <f t="shared" ref="C146:H146" si="13">COVAR($C$4:$C$123,C4:C123)</f>
        <v>6.9642922946028651E-3</v>
      </c>
      <c r="D146" s="17">
        <f t="shared" si="13"/>
        <v>1.1481687030334387E-3</v>
      </c>
      <c r="E146" s="17">
        <f t="shared" si="13"/>
        <v>1.7576562487199706E-3</v>
      </c>
      <c r="F146" s="17">
        <f t="shared" si="13"/>
        <v>3.5712508797283455E-3</v>
      </c>
      <c r="G146" s="17">
        <f t="shared" si="13"/>
        <v>2.0784036326908211E-3</v>
      </c>
      <c r="H146" s="17">
        <f t="shared" si="13"/>
        <v>3.0932550784547271E-3</v>
      </c>
    </row>
    <row r="147" spans="1:10">
      <c r="A147" s="4" t="s">
        <v>3</v>
      </c>
      <c r="B147" s="17">
        <f>COVAR($D$4:$D$123,B4:B123)</f>
        <v>1.218436021435692E-3</v>
      </c>
      <c r="C147" s="17">
        <f t="shared" ref="C147:H147" si="14">COVAR($D$4:$D$123,C4:C123)</f>
        <v>1.1481687030334387E-3</v>
      </c>
      <c r="D147" s="17">
        <f t="shared" si="14"/>
        <v>2.1732540146813736E-3</v>
      </c>
      <c r="E147" s="17">
        <f t="shared" si="14"/>
        <v>2.1821531413046672E-3</v>
      </c>
      <c r="F147" s="17">
        <f t="shared" si="14"/>
        <v>1.7290510738277513E-3</v>
      </c>
      <c r="G147" s="17">
        <f t="shared" si="14"/>
        <v>1.122606164355643E-3</v>
      </c>
      <c r="H147" s="17">
        <f t="shared" si="14"/>
        <v>1.3253142575849622E-3</v>
      </c>
    </row>
    <row r="148" spans="1:10">
      <c r="A148" s="4" t="s">
        <v>4</v>
      </c>
      <c r="B148" s="17">
        <f>COVAR($E$4:$E$123,B4:B123)</f>
        <v>2.1082393905811712E-3</v>
      </c>
      <c r="C148" s="17">
        <f t="shared" ref="C148:H148" si="15">COVAR($E$4:$E$123,C4:C123)</f>
        <v>1.7576562487199706E-3</v>
      </c>
      <c r="D148" s="17">
        <f t="shared" si="15"/>
        <v>2.1821531413046672E-3</v>
      </c>
      <c r="E148" s="17">
        <f t="shared" si="15"/>
        <v>3.4639998958609403E-3</v>
      </c>
      <c r="F148" s="17">
        <f t="shared" si="15"/>
        <v>2.5523449765656159E-3</v>
      </c>
      <c r="G148" s="17">
        <f t="shared" si="15"/>
        <v>1.6625525390073527E-3</v>
      </c>
      <c r="H148" s="17">
        <f t="shared" si="15"/>
        <v>2.0783343738752934E-3</v>
      </c>
    </row>
    <row r="149" spans="1:10">
      <c r="A149" s="4" t="s">
        <v>5</v>
      </c>
      <c r="B149" s="17">
        <f>COVAR($F$4:$F$123,B4:B123)</f>
        <v>3.2155357916201872E-3</v>
      </c>
      <c r="C149" s="17">
        <f t="shared" ref="C149:H149" si="16">COVAR($F$4:$F$123,C4:C123)</f>
        <v>3.5712508797283455E-3</v>
      </c>
      <c r="D149" s="17">
        <f t="shared" si="16"/>
        <v>1.7290510738277513E-3</v>
      </c>
      <c r="E149" s="17">
        <f t="shared" si="16"/>
        <v>2.5523449765656159E-3</v>
      </c>
      <c r="F149" s="17">
        <f t="shared" si="16"/>
        <v>1.1639015801788333E-2</v>
      </c>
      <c r="G149" s="17">
        <f t="shared" si="16"/>
        <v>2.7778256612860999E-3</v>
      </c>
      <c r="H149" s="17">
        <f t="shared" si="16"/>
        <v>4.6947587781478398E-3</v>
      </c>
    </row>
    <row r="150" spans="1:10">
      <c r="A150" s="4" t="s">
        <v>6</v>
      </c>
      <c r="B150" s="17">
        <f>COVAR($G$4:$G$123,B4:B123)</f>
        <v>2.318504509578954E-3</v>
      </c>
      <c r="C150" s="17">
        <f t="shared" ref="C150:H150" si="17">COVAR($G$4:$G$123,C4:C123)</f>
        <v>2.0784036326908211E-3</v>
      </c>
      <c r="D150" s="17">
        <f t="shared" si="17"/>
        <v>1.122606164355643E-3</v>
      </c>
      <c r="E150" s="17">
        <f t="shared" si="17"/>
        <v>1.6625525390073527E-3</v>
      </c>
      <c r="F150" s="17">
        <f t="shared" si="17"/>
        <v>2.7778256612860999E-3</v>
      </c>
      <c r="G150" s="17">
        <f t="shared" si="17"/>
        <v>1.933729099684166E-3</v>
      </c>
      <c r="H150" s="17">
        <f t="shared" si="17"/>
        <v>1.7858777922136093E-3</v>
      </c>
    </row>
    <row r="151" spans="1:10">
      <c r="A151" s="4" t="s">
        <v>7</v>
      </c>
      <c r="B151" s="17">
        <f>COVAR($H$4:$H$123,B4:B123)</f>
        <v>2.142231516518627E-3</v>
      </c>
      <c r="C151" s="17">
        <f t="shared" ref="C151:H151" si="18">COVAR($H$4:$H$123,C4:C123)</f>
        <v>3.0932550784547271E-3</v>
      </c>
      <c r="D151" s="17">
        <f t="shared" si="18"/>
        <v>1.3253142575849622E-3</v>
      </c>
      <c r="E151" s="17">
        <f t="shared" si="18"/>
        <v>2.0783343738752934E-3</v>
      </c>
      <c r="F151" s="17">
        <f t="shared" si="18"/>
        <v>4.6947587781478398E-3</v>
      </c>
      <c r="G151" s="17">
        <f t="shared" si="18"/>
        <v>1.7858777922136093E-3</v>
      </c>
      <c r="H151" s="17">
        <f t="shared" si="18"/>
        <v>2.237891539662229E-2</v>
      </c>
    </row>
    <row r="153" spans="1:10">
      <c r="A153" s="7" t="s">
        <v>12</v>
      </c>
      <c r="B153" s="9" t="s">
        <v>13</v>
      </c>
      <c r="C153" s="10"/>
      <c r="D153" s="10"/>
      <c r="E153" s="10"/>
      <c r="F153" s="10"/>
      <c r="G153" s="10"/>
      <c r="H153" s="11"/>
      <c r="I153" s="20" t="s">
        <v>14</v>
      </c>
    </row>
    <row r="154" spans="1:10">
      <c r="A154" s="19">
        <f t="array" ref="A154:G159">eigen(C146:H151)</f>
        <v>2.6344228128294393E-2</v>
      </c>
      <c r="B154" s="19">
        <v>0.24565453983340327</v>
      </c>
      <c r="C154" s="19">
        <v>0.36139618077472813</v>
      </c>
      <c r="D154" s="19">
        <v>-0.76713573916096112</v>
      </c>
      <c r="E154" s="19">
        <v>0.44218025752224721</v>
      </c>
      <c r="F154" s="19">
        <v>-0.15468748854234035</v>
      </c>
      <c r="G154" s="19">
        <v>-3.3133156033763218E-2</v>
      </c>
      <c r="H154" s="19"/>
      <c r="I154" s="3">
        <f>A154/SUM($A$154:$A$159)</f>
        <v>0.54258472355551701</v>
      </c>
      <c r="J154" s="25"/>
    </row>
    <row r="155" spans="1:10">
      <c r="A155" s="19">
        <v>1.2108075842528676E-2</v>
      </c>
      <c r="B155" s="19">
        <v>0.10806876110115606</v>
      </c>
      <c r="C155" s="19">
        <v>0.16593044388303593</v>
      </c>
      <c r="D155" s="19">
        <v>-0.14195163145448539</v>
      </c>
      <c r="E155" s="19">
        <v>-0.53460764360348467</v>
      </c>
      <c r="F155" s="19">
        <v>-0.41388130657079852</v>
      </c>
      <c r="G155" s="19">
        <v>0.69536673523137382</v>
      </c>
      <c r="H155" s="19"/>
      <c r="I155" s="3">
        <f t="shared" ref="I155:I159" si="19">A155/SUM($A$154:$A$159)</f>
        <v>0.24937747091370166</v>
      </c>
      <c r="J155" s="25"/>
    </row>
    <row r="156" spans="1:10">
      <c r="A156" s="19">
        <v>5.1870003938171592E-3</v>
      </c>
      <c r="B156" s="19">
        <v>0.16135367502678435</v>
      </c>
      <c r="C156" s="19">
        <v>0.23220729154756775</v>
      </c>
      <c r="D156" s="19">
        <v>-0.19954451666789191</v>
      </c>
      <c r="E156" s="19">
        <v>-0.67785355077720943</v>
      </c>
      <c r="F156" s="19">
        <v>-1.0412766223459845E-2</v>
      </c>
      <c r="G156" s="19">
        <v>-0.64856217063094457</v>
      </c>
      <c r="H156" s="19"/>
      <c r="I156" s="3">
        <f t="shared" si="19"/>
        <v>0.10683126341966784</v>
      </c>
      <c r="J156" s="25"/>
    </row>
    <row r="157" spans="1:10">
      <c r="A157" s="19">
        <v>3.6998028045613688E-3</v>
      </c>
      <c r="B157" s="19">
        <v>0.39891945812929464</v>
      </c>
      <c r="C157" s="19">
        <v>0.67902576836121853</v>
      </c>
      <c r="D157" s="19">
        <v>0.57725275249786157</v>
      </c>
      <c r="E157" s="19">
        <v>0.18541117332230006</v>
      </c>
      <c r="F157" s="19">
        <v>-0.10697329339350101</v>
      </c>
      <c r="G157" s="19">
        <v>-2.7311954686051527E-2</v>
      </c>
      <c r="H157" s="19"/>
      <c r="I157" s="3">
        <f t="shared" si="19"/>
        <v>7.6200998265984338E-2</v>
      </c>
      <c r="J157" s="25"/>
    </row>
    <row r="158" spans="1:10">
      <c r="A158" s="19">
        <v>6.9430958631648066E-4</v>
      </c>
      <c r="B158" s="19">
        <v>0.14443317014273221</v>
      </c>
      <c r="C158" s="19">
        <v>0.22306841841241865</v>
      </c>
      <c r="D158" s="19">
        <v>-0.13214399382129385</v>
      </c>
      <c r="E158" s="19">
        <v>-0.15727430893898314</v>
      </c>
      <c r="F158" s="19">
        <v>0.89062842084301608</v>
      </c>
      <c r="G158" s="19">
        <v>0.30653435810803792</v>
      </c>
      <c r="H158" s="19"/>
      <c r="I158" s="3">
        <f t="shared" si="19"/>
        <v>1.4299973911509823E-2</v>
      </c>
      <c r="J158" s="25"/>
    </row>
    <row r="159" spans="1:10">
      <c r="A159" s="19">
        <v>5.1978974772189589E-4</v>
      </c>
      <c r="B159" s="19">
        <v>0.84967188183262921</v>
      </c>
      <c r="C159" s="19">
        <v>-0.52640682810427186</v>
      </c>
      <c r="D159" s="19">
        <v>2.9183942978179379E-2</v>
      </c>
      <c r="E159" s="19">
        <v>8.5638491364137519E-3</v>
      </c>
      <c r="F159" s="19">
        <v>-1.8302312725446104E-3</v>
      </c>
      <c r="G159" s="19">
        <v>5.0152529248977014E-3</v>
      </c>
      <c r="H159" s="19"/>
      <c r="I159" s="3">
        <f t="shared" si="19"/>
        <v>1.0705569933619321E-2</v>
      </c>
      <c r="J159" s="25"/>
    </row>
    <row r="160" spans="1:10">
      <c r="A160" s="19"/>
      <c r="B160" s="19"/>
      <c r="C160" s="19"/>
      <c r="D160" s="19"/>
      <c r="E160" s="19"/>
      <c r="F160" s="19"/>
      <c r="G160" s="19"/>
      <c r="H160" s="19"/>
      <c r="J160" s="25"/>
    </row>
    <row r="161" spans="1:13">
      <c r="A161" s="7" t="s">
        <v>22</v>
      </c>
      <c r="B161" s="7">
        <f>RSQ($B$4:$B$123,B4:B123)</f>
        <v>1</v>
      </c>
      <c r="C161" s="7">
        <f>RSQ($B$4:$B$123,C4:C123)</f>
        <v>0.32159042251100955</v>
      </c>
      <c r="D161" s="7">
        <f>RSQ($B$4:$B$123,D4:D123)</f>
        <v>8.1491533420860213E-2</v>
      </c>
      <c r="E161" s="7">
        <f>RSQ($B$4:$B$123,E4:E123)</f>
        <v>0.15306626939937237</v>
      </c>
      <c r="F161" s="7">
        <f>RSQ($B$4:$B$123,F4:F123)</f>
        <v>0.1059761063285052</v>
      </c>
      <c r="G161" s="7">
        <f>RSQ($B$4:$B$123,G4:G123)</f>
        <v>0.33161775738397381</v>
      </c>
      <c r="H161" s="7">
        <f>RSQ($B$4:$B$123,H4:H123)</f>
        <v>2.4463088987915337E-2</v>
      </c>
      <c r="I161" s="7"/>
      <c r="K161" s="18">
        <f>RSQ($B$4:$B$122,K4:K122)</f>
        <v>0.11219748487809379</v>
      </c>
      <c r="L161" s="18">
        <f t="shared" ref="L161:M161" si="20">RSQ($B$4:$B$122,L4:L122)</f>
        <v>0.14492603177879343</v>
      </c>
      <c r="M161" s="18">
        <f t="shared" si="20"/>
        <v>0.12160808350919339</v>
      </c>
    </row>
  </sheetData>
  <mergeCells count="5">
    <mergeCell ref="B1:H1"/>
    <mergeCell ref="B129:H129"/>
    <mergeCell ref="B143:H143"/>
    <mergeCell ref="B153:H153"/>
    <mergeCell ref="K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Returns</vt:lpstr>
      <vt:lpstr>Normalized</vt:lpstr>
      <vt:lpstr>Original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2017-02-25T13:57:56Z</dcterms:created>
  <dcterms:modified xsi:type="dcterms:W3CDTF">2017-02-26T00:55:16Z</dcterms:modified>
</cp:coreProperties>
</file>